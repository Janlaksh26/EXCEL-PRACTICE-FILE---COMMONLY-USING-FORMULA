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ATA SCIENCE\EXCEL\"/>
    </mc:Choice>
  </mc:AlternateContent>
  <xr:revisionPtr revIDLastSave="0" documentId="13_ncr:1_{CA343F70-1432-4E44-A75E-9D9FBFB16B8E}" xr6:coauthVersionLast="47" xr6:coauthVersionMax="47" xr10:uidLastSave="{00000000-0000-0000-0000-000000000000}"/>
  <bookViews>
    <workbookView xWindow="-108" yWindow="-108" windowWidth="23256" windowHeight="13896" tabRatio="893" activeTab="4" xr2:uid="{A4D098DE-9834-4829-9652-0FC6596505B3}"/>
  </bookViews>
  <sheets>
    <sheet name="Basic Functions" sheetId="1" r:id="rId1"/>
    <sheet name="Conditional Functions" sheetId="2" r:id="rId2"/>
    <sheet name="Counting Functions" sheetId="3" r:id="rId3"/>
    <sheet name="Text Functions" sheetId="4" r:id="rId4"/>
    <sheet name="Dynamic Array Function" sheetId="5" r:id="rId5"/>
    <sheet name="Lookup Function S1" sheetId="6" r:id="rId6"/>
    <sheet name="Lookup Function S2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5" l="1" a="1"/>
  <c r="G2" i="5" s="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3" i="6"/>
  <c r="E17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3" i="6"/>
  <c r="F16" i="4"/>
  <c r="F13" i="4"/>
  <c r="F11" i="4"/>
  <c r="F8" i="4"/>
  <c r="F6" i="4"/>
  <c r="F4" i="4"/>
  <c r="F5" i="4"/>
  <c r="F7" i="4"/>
  <c r="F9" i="4"/>
  <c r="F10" i="4"/>
  <c r="F12" i="4"/>
  <c r="F14" i="4"/>
  <c r="F15" i="4"/>
  <c r="F17" i="4"/>
  <c r="F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3" i="4"/>
  <c r="B14" i="4"/>
  <c r="B15" i="4"/>
  <c r="B16" i="4"/>
  <c r="B17" i="4"/>
  <c r="B4" i="4"/>
  <c r="B5" i="4"/>
  <c r="B6" i="4"/>
  <c r="B7" i="4"/>
  <c r="B8" i="4"/>
  <c r="B9" i="4"/>
  <c r="B10" i="4"/>
  <c r="B11" i="4"/>
  <c r="B12" i="4"/>
  <c r="B13" i="4"/>
  <c r="B3" i="4"/>
  <c r="K7" i="3"/>
  <c r="K6" i="3"/>
  <c r="K5" i="3"/>
  <c r="K4" i="3"/>
  <c r="K3" i="3"/>
  <c r="H5" i="3"/>
  <c r="H4" i="3"/>
  <c r="H3" i="3"/>
  <c r="J6" i="2"/>
  <c r="J4" i="2"/>
  <c r="J2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3" i="2"/>
  <c r="F18" i="1"/>
  <c r="F19" i="1"/>
  <c r="E19" i="1"/>
  <c r="E18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3" i="1"/>
  <c r="F1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<sst xmlns="http://schemas.openxmlformats.org/spreadsheetml/2006/main" count="441" uniqueCount="225">
  <si>
    <t>Employee ID</t>
  </si>
  <si>
    <t>Employee Name</t>
  </si>
  <si>
    <t>Department</t>
  </si>
  <si>
    <t>Month</t>
  </si>
  <si>
    <t>Arun Kumar</t>
  </si>
  <si>
    <t>Jan</t>
  </si>
  <si>
    <t>Priya Sharma</t>
  </si>
  <si>
    <t>Ramesh Iyer</t>
  </si>
  <si>
    <t>Sneha Patel</t>
  </si>
  <si>
    <t>Mohan Das</t>
  </si>
  <si>
    <t>Kavya Nair</t>
  </si>
  <si>
    <t>Feb</t>
  </si>
  <si>
    <t>Rahul Mehta</t>
  </si>
  <si>
    <t>Anjali Verma</t>
  </si>
  <si>
    <t>Suresh Rao</t>
  </si>
  <si>
    <t>Neha Gupta</t>
  </si>
  <si>
    <t>Karthik M</t>
  </si>
  <si>
    <t>Mar</t>
  </si>
  <si>
    <t>Pooja Singh</t>
  </si>
  <si>
    <t>Vinod Kumar</t>
  </si>
  <si>
    <t>Deepa R</t>
  </si>
  <si>
    <t>Amit Shah</t>
  </si>
  <si>
    <t>Expense ID</t>
  </si>
  <si>
    <t>Expense Category</t>
  </si>
  <si>
    <t>Amount (₹)</t>
  </si>
  <si>
    <t>EX001</t>
  </si>
  <si>
    <t>Sales</t>
  </si>
  <si>
    <t>Travel</t>
  </si>
  <si>
    <t>EX002</t>
  </si>
  <si>
    <t>Marketing</t>
  </si>
  <si>
    <t>Meals</t>
  </si>
  <si>
    <t>EX003</t>
  </si>
  <si>
    <t>Finance</t>
  </si>
  <si>
    <t>Stationery</t>
  </si>
  <si>
    <t>EX004</t>
  </si>
  <si>
    <t>HR</t>
  </si>
  <si>
    <t>EX005</t>
  </si>
  <si>
    <t>Client Meeting</t>
  </si>
  <si>
    <t>EX006</t>
  </si>
  <si>
    <t>EX007</t>
  </si>
  <si>
    <t>IT</t>
  </si>
  <si>
    <t>Software</t>
  </si>
  <si>
    <t>EX008</t>
  </si>
  <si>
    <t>Training</t>
  </si>
  <si>
    <t>EX009</t>
  </si>
  <si>
    <t>EX010</t>
  </si>
  <si>
    <t>EX011</t>
  </si>
  <si>
    <t>Hardware</t>
  </si>
  <si>
    <t>EX012</t>
  </si>
  <si>
    <t>Advertising</t>
  </si>
  <si>
    <t>EX013</t>
  </si>
  <si>
    <t>Audit Fees</t>
  </si>
  <si>
    <t>EX014</t>
  </si>
  <si>
    <t>Recruitment</t>
  </si>
  <si>
    <t>EX015</t>
  </si>
  <si>
    <t>Monthly Expense Report</t>
  </si>
  <si>
    <t>Total Amount</t>
  </si>
  <si>
    <t>Average Expense</t>
  </si>
  <si>
    <t>Round</t>
  </si>
  <si>
    <t>Sales Target</t>
  </si>
  <si>
    <t>Sales Achieved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</si>
  <si>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</si>
  <si>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</si>
  <si>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</si>
  <si>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</si>
  <si>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</si>
  <si>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</si>
  <si>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</si>
  <si>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</si>
  <si>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</si>
  <si>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</si>
  <si>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</si>
  <si>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</si>
  <si>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</si>
  <si>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</si>
  <si>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</si>
  <si>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Employee Sales Performance Report</t>
  </si>
  <si>
    <t>Target Achieved</t>
  </si>
  <si>
    <t>Sales Dep</t>
  </si>
  <si>
    <t>Sales Dep - Mar</t>
  </si>
  <si>
    <t>Record ID</t>
  </si>
  <si>
    <t>Attendance Days</t>
  </si>
  <si>
    <t>Joining Date</t>
  </si>
  <si>
    <t>Remarks</t>
  </si>
  <si>
    <t>R001</t>
  </si>
  <si>
    <t>Present</t>
  </si>
  <si>
    <t>R002</t>
  </si>
  <si>
    <t>R003</t>
  </si>
  <si>
    <t>R004</t>
  </si>
  <si>
    <t>On Leave</t>
  </si>
  <si>
    <t>R005</t>
  </si>
  <si>
    <t>R006</t>
  </si>
  <si>
    <t>R007</t>
  </si>
  <si>
    <t>R008</t>
  </si>
  <si>
    <t>R009</t>
  </si>
  <si>
    <t>R010</t>
  </si>
  <si>
    <t>Absent</t>
  </si>
  <si>
    <t>R011</t>
  </si>
  <si>
    <t>R012</t>
  </si>
  <si>
    <t>R013</t>
  </si>
  <si>
    <t>R014</t>
  </si>
  <si>
    <t>R015</t>
  </si>
  <si>
    <t>Employee Attendance &amp; Reporting Sheet</t>
  </si>
  <si>
    <t>Emp Code</t>
  </si>
  <si>
    <t>First Name</t>
  </si>
  <si>
    <t>Last Name</t>
  </si>
  <si>
    <t>Department Code</t>
  </si>
  <si>
    <t>Date of Joining</t>
  </si>
  <si>
    <t>Official Email</t>
  </si>
  <si>
    <t>EK-SAL-001</t>
  </si>
  <si>
    <t>Arun</t>
  </si>
  <si>
    <t>Kumar</t>
  </si>
  <si>
    <t>arun.kumar@company.com</t>
  </si>
  <si>
    <t>EK-MKT-002</t>
  </si>
  <si>
    <t>Priya</t>
  </si>
  <si>
    <t>Sharma</t>
  </si>
  <si>
    <t>priya.sharma@company.com</t>
  </si>
  <si>
    <t>EK-FIN-003</t>
  </si>
  <si>
    <t>Ramesh</t>
  </si>
  <si>
    <t>Iyer</t>
  </si>
  <si>
    <t>ramesh.iyer@company.com</t>
  </si>
  <si>
    <t>EK-HR-004</t>
  </si>
  <si>
    <t>Sneha</t>
  </si>
  <si>
    <t>Patel</t>
  </si>
  <si>
    <t>sneha.patel@company.com</t>
  </si>
  <si>
    <t>EK-SAL-005</t>
  </si>
  <si>
    <t>Mohan</t>
  </si>
  <si>
    <t>Das</t>
  </si>
  <si>
    <t>mohan.das@company.com</t>
  </si>
  <si>
    <t>EK-IT-006</t>
  </si>
  <si>
    <t>Kavya</t>
  </si>
  <si>
    <t>Nair</t>
  </si>
  <si>
    <t>kavya.nair@company.com</t>
  </si>
  <si>
    <t>EK-MKT-007</t>
  </si>
  <si>
    <t>Rahul</t>
  </si>
  <si>
    <t>Mehta</t>
  </si>
  <si>
    <t>rahul.mehta@company.com</t>
  </si>
  <si>
    <t>EK-FIN-008</t>
  </si>
  <si>
    <t>Anjali</t>
  </si>
  <si>
    <t>Verma</t>
  </si>
  <si>
    <t>anjali.verma@company.com</t>
  </si>
  <si>
    <t>EK-HR-009</t>
  </si>
  <si>
    <t>Suresh</t>
  </si>
  <si>
    <t>Rao</t>
  </si>
  <si>
    <t>suresh.rao@company.com</t>
  </si>
  <si>
    <t>EK-SAL-010</t>
  </si>
  <si>
    <t>Neha</t>
  </si>
  <si>
    <t>Gupta</t>
  </si>
  <si>
    <t>neha.gupta@company.com</t>
  </si>
  <si>
    <t>EK-IT-011</t>
  </si>
  <si>
    <t>Karthik</t>
  </si>
  <si>
    <t>M</t>
  </si>
  <si>
    <t>karthik.m@company.com</t>
  </si>
  <si>
    <t>EK-MKT-012</t>
  </si>
  <si>
    <t>Pooja</t>
  </si>
  <si>
    <t>Singh</t>
  </si>
  <si>
    <t>pooja.singh@company.com</t>
  </si>
  <si>
    <t>EK-FIN-013</t>
  </si>
  <si>
    <t>Vinod</t>
  </si>
  <si>
    <t>vinod.kumar@company.com</t>
  </si>
  <si>
    <t>EK-HR-014</t>
  </si>
  <si>
    <t>Deepa</t>
  </si>
  <si>
    <t>R</t>
  </si>
  <si>
    <t>deepa.r@company.com</t>
  </si>
  <si>
    <t>EK-SAL-015</t>
  </si>
  <si>
    <t>Amit</t>
  </si>
  <si>
    <t>Shah</t>
  </si>
  <si>
    <t>amit.shah@company.com</t>
  </si>
  <si>
    <t>Employee Master &amp; ID Management</t>
  </si>
  <si>
    <t>Emp Name</t>
  </si>
  <si>
    <t>Emp Serial No</t>
  </si>
  <si>
    <t>Performance Rating</t>
  </si>
  <si>
    <t>Monthly Salary (₹)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</si>
  <si>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</si>
  <si>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</si>
  <si>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</si>
  <si>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</si>
  <si>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</si>
  <si>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</si>
  <si>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</si>
  <si>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</si>
  <si>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</si>
  <si>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</si>
  <si>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</si>
  <si>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</si>
  <si>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</si>
  <si>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</si>
  <si>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</si>
  <si>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Employee Monthly Work Report (Main Sheet)</t>
  </si>
  <si>
    <t>Days Worked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</si>
  <si>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</si>
  <si>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</si>
  <si>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</si>
  <si>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</si>
  <si>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</si>
  <si>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</si>
  <si>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</si>
  <si>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</si>
  <si>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</si>
  <si>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</si>
  <si>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</si>
  <si>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</si>
  <si>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</si>
  <si>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</si>
  <si>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</si>
  <si>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Employee Salary Master (Reference Sheet)</t>
  </si>
  <si>
    <t>Designation</t>
  </si>
  <si>
    <t>Daily Salary (₹)</t>
  </si>
  <si>
    <t>Location</t>
  </si>
  <si>
    <t>Sales Executive</t>
  </si>
  <si>
    <t>Chennai</t>
  </si>
  <si>
    <t>Marketing Executive</t>
  </si>
  <si>
    <t>Bengaluru</t>
  </si>
  <si>
    <t>Finance Analyst</t>
  </si>
  <si>
    <t>Mumbai</t>
  </si>
  <si>
    <t>HR Executive</t>
  </si>
  <si>
    <t>Hyderabad</t>
  </si>
  <si>
    <t>Software Engineer</t>
  </si>
  <si>
    <t>Pune</t>
  </si>
  <si>
    <t>Sales Manager</t>
  </si>
  <si>
    <t>Delhi</t>
  </si>
  <si>
    <t>Finance Manager</t>
  </si>
  <si>
    <t>Daily Salary</t>
  </si>
  <si>
    <t>Salary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</si>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</sst>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164" formatCode="_ &quot;₹&quot;\ * #,##0.00_ ;_ &quot;₹&quot;\ * \-#,##0.00_ ;_ &quot;₹&quot;\ * &quot;-&quot;??_ ;_ @_ "/>
    <numFmt numFmtId="165" formatCode="_ &quot;₹&quot;\ * #,##0_ ;_ &quot;₹&quot;\ * \-#,##0_ ;_ &quot;₹&quot;\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FF8001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/>
    </xf>
    <xf numFmtId="0" fontId="4" fillId="2" borderId="0" xfId="4" applyAlignment="1">
      <alignment horizontal="center" vertical="center"/>
    </xf>
    <xf numFmtId="164" fontId="0" fillId="0" borderId="0" xfId="0" applyNumberFormat="1"/>
    <xf numFmtId="0" fontId="4" fillId="3" borderId="0" xfId="5" applyAlignment="1">
      <alignment vertical="center"/>
    </xf>
    <xf numFmtId="165" fontId="0" fillId="0" borderId="0" xfId="1" applyNumberFormat="1" applyFont="1" applyAlignment="1">
      <alignment vertical="center"/>
    </xf>
    <xf numFmtId="165" fontId="3" fillId="0" borderId="2" xfId="3" applyNumberFormat="1"/>
    <xf numFmtId="0" fontId="4" fillId="3" borderId="0" xfId="5" applyAlignment="1">
      <alignment horizontal="center" vertical="center"/>
    </xf>
    <xf numFmtId="165" fontId="0" fillId="0" borderId="0" xfId="1" applyNumberFormat="1" applyFont="1"/>
    <xf numFmtId="0" fontId="4" fillId="3" borderId="0" xfId="5"/>
    <xf numFmtId="0" fontId="3" fillId="0" borderId="2" xfId="3"/>
    <xf numFmtId="15" fontId="0" fillId="0" borderId="0" xfId="0" applyNumberFormat="1" applyAlignment="1">
      <alignment vertical="center"/>
    </xf>
    <xf numFmtId="0" fontId="5" fillId="0" borderId="0" xfId="6" applyAlignment="1">
      <alignment vertical="center"/>
    </xf>
    <xf numFmtId="165" fontId="0" fillId="0" borderId="0" xfId="0" applyNumberFormat="1"/>
    <xf numFmtId="42" fontId="3" fillId="0" borderId="2" xfId="3" applyNumberFormat="1"/>
    <xf numFmtId="0" fontId="2" fillId="0" borderId="0" xfId="2" applyBorder="1" applyAlignment="1">
      <alignment horizontal="center"/>
    </xf>
    <xf numFmtId="0" fontId="2" fillId="0" borderId="1" xfId="2" applyAlignment="1">
      <alignment horizontal="center"/>
    </xf>
  </cellXfs>
  <cellStyles count="7">
    <cellStyle name="Accent1" xfId="4" builtinId="29"/>
    <cellStyle name="Accent2" xfId="5" builtinId="33"/>
    <cellStyle name="Currency" xfId="1" builtinId="4"/>
    <cellStyle name="Heading 1" xfId="2" builtinId="16"/>
    <cellStyle name="Hyperlink" xfId="6" builtinId="8"/>
    <cellStyle name="Linked Cell" xfId="3" builtinId="2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njali.verma@company.com" TargetMode="External"/><Relationship Id="rId13" Type="http://schemas.openxmlformats.org/officeDocument/2006/relationships/hyperlink" Target="mailto:vinod.kumar@company.com" TargetMode="External"/><Relationship Id="rId3" Type="http://schemas.openxmlformats.org/officeDocument/2006/relationships/hyperlink" Target="mailto:ramesh.iyer@company.com" TargetMode="External"/><Relationship Id="rId7" Type="http://schemas.openxmlformats.org/officeDocument/2006/relationships/hyperlink" Target="mailto:rahul.mehta@company.com" TargetMode="External"/><Relationship Id="rId12" Type="http://schemas.openxmlformats.org/officeDocument/2006/relationships/hyperlink" Target="mailto:pooja.singh@company.com" TargetMode="External"/><Relationship Id="rId2" Type="http://schemas.openxmlformats.org/officeDocument/2006/relationships/hyperlink" Target="mailto:priya.sharma@company.com" TargetMode="External"/><Relationship Id="rId1" Type="http://schemas.openxmlformats.org/officeDocument/2006/relationships/hyperlink" Target="mailto:arun.kumar@company.com" TargetMode="External"/><Relationship Id="rId6" Type="http://schemas.openxmlformats.org/officeDocument/2006/relationships/hyperlink" Target="mailto:kavya.nair@company.com" TargetMode="External"/><Relationship Id="rId11" Type="http://schemas.openxmlformats.org/officeDocument/2006/relationships/hyperlink" Target="mailto:karthik.m@company.com" TargetMode="External"/><Relationship Id="rId5" Type="http://schemas.openxmlformats.org/officeDocument/2006/relationships/hyperlink" Target="mailto:mohan.das@company.com" TargetMode="External"/><Relationship Id="rId15" Type="http://schemas.openxmlformats.org/officeDocument/2006/relationships/hyperlink" Target="mailto:amit.shah@company.com" TargetMode="External"/><Relationship Id="rId10" Type="http://schemas.openxmlformats.org/officeDocument/2006/relationships/hyperlink" Target="mailto:neha.gupta@company.com" TargetMode="External"/><Relationship Id="rId4" Type="http://schemas.openxmlformats.org/officeDocument/2006/relationships/hyperlink" Target="mailto:sneha.patel@company.com" TargetMode="External"/><Relationship Id="rId9" Type="http://schemas.openxmlformats.org/officeDocument/2006/relationships/hyperlink" Target="mailto:suresh.rao@company.com" TargetMode="External"/><Relationship Id="rId14" Type="http://schemas.openxmlformats.org/officeDocument/2006/relationships/hyperlink" Target="mailto:deepa.r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EDA54-BB5F-41B0-934A-BF5499D1A345}">
  <dimension ref="A1:F21"/>
  <sheetViews>
    <sheetView zoomScale="145" zoomScaleNormal="145" workbookViewId="0">
      <selection activeCell="E3" sqref="E3"/>
    </sheetView>
  </sheetViews>
  <sheetFormatPr defaultRowHeight="14.4" x14ac:dyDescent="0.3"/>
  <cols>
    <col min="1" max="1" width="9.6640625" bestFit="1" customWidth="1"/>
    <col min="2" max="2" width="18.5546875" customWidth="1"/>
    <col min="3" max="3" width="15.5546875" customWidth="1"/>
    <col min="4" max="4" width="17.88671875" customWidth="1"/>
    <col min="5" max="5" width="16.77734375" bestFit="1" customWidth="1"/>
    <col min="6" max="6" width="17.33203125" bestFit="1" customWidth="1"/>
  </cols>
  <sheetData>
    <row r="1" spans="1:6" ht="23.55" customHeight="1" x14ac:dyDescent="0.4">
      <c r="A1" s="15" t="s">
        <v>55</v>
      </c>
      <c r="B1" s="15"/>
      <c r="C1" s="15"/>
      <c r="D1" s="15"/>
      <c r="E1" s="15"/>
      <c r="F1" s="15"/>
    </row>
    <row r="2" spans="1:6" ht="18.899999999999999" customHeight="1" x14ac:dyDescent="0.3">
      <c r="A2" s="2" t="s">
        <v>22</v>
      </c>
      <c r="B2" s="2" t="s">
        <v>1</v>
      </c>
      <c r="C2" s="2" t="s">
        <v>2</v>
      </c>
      <c r="D2" s="2" t="s">
        <v>23</v>
      </c>
      <c r="E2" s="2" t="s">
        <v>24</v>
      </c>
      <c r="F2" s="7" t="s">
        <v>58</v>
      </c>
    </row>
    <row r="3" spans="1:6" x14ac:dyDescent="0.3">
      <c r="A3" s="1" t="s">
        <v>25</v>
      </c>
      <c r="B3" s="1" t="s">
        <v>4</v>
      </c>
      <c r="C3" s="1" t="s">
        <v>26</v>
      </c>
      <c r="D3" s="1" t="s">
        <v>27</v>
      </c>
      <c r="E3" s="5">
        <v>2450.75</v>
      </c>
      <c r="F3" s="3">
        <f>ROUND(E3,0)</f>
        <v>2451</v>
      </c>
    </row>
    <row r="4" spans="1:6" x14ac:dyDescent="0.3">
      <c r="A4" s="1" t="s">
        <v>28</v>
      </c>
      <c r="B4" s="1" t="s">
        <v>6</v>
      </c>
      <c r="C4" s="1" t="s">
        <v>29</v>
      </c>
      <c r="D4" s="1" t="s">
        <v>30</v>
      </c>
      <c r="E4" s="5">
        <v>1385.5</v>
      </c>
      <c r="F4" s="3">
        <f t="shared" ref="F4:F19" si="0">ROUND(E4,0)</f>
        <v>1386</v>
      </c>
    </row>
    <row r="5" spans="1:6" x14ac:dyDescent="0.3">
      <c r="A5" s="1" t="s">
        <v>31</v>
      </c>
      <c r="B5" s="1" t="s">
        <v>7</v>
      </c>
      <c r="C5" s="1" t="s">
        <v>32</v>
      </c>
      <c r="D5" s="1" t="s">
        <v>33</v>
      </c>
      <c r="E5" s="5">
        <v>820.4</v>
      </c>
      <c r="F5" s="3">
        <f t="shared" si="0"/>
        <v>820</v>
      </c>
    </row>
    <row r="6" spans="1:6" x14ac:dyDescent="0.3">
      <c r="A6" s="1" t="s">
        <v>34</v>
      </c>
      <c r="B6" s="1" t="s">
        <v>8</v>
      </c>
      <c r="C6" s="1" t="s">
        <v>35</v>
      </c>
      <c r="D6" s="1" t="s">
        <v>27</v>
      </c>
      <c r="E6" s="5">
        <v>3120.9</v>
      </c>
      <c r="F6" s="3">
        <f t="shared" si="0"/>
        <v>3121</v>
      </c>
    </row>
    <row r="7" spans="1:6" x14ac:dyDescent="0.3">
      <c r="A7" s="1" t="s">
        <v>36</v>
      </c>
      <c r="B7" s="1" t="s">
        <v>9</v>
      </c>
      <c r="C7" s="1" t="s">
        <v>26</v>
      </c>
      <c r="D7" s="1" t="s">
        <v>37</v>
      </c>
      <c r="E7" s="5">
        <v>1985.25</v>
      </c>
      <c r="F7" s="3">
        <f t="shared" si="0"/>
        <v>1985</v>
      </c>
    </row>
    <row r="8" spans="1:6" x14ac:dyDescent="0.3">
      <c r="A8" s="1" t="s">
        <v>38</v>
      </c>
      <c r="B8" s="1" t="s">
        <v>10</v>
      </c>
      <c r="C8" s="1" t="s">
        <v>29</v>
      </c>
      <c r="D8" s="1" t="s">
        <v>27</v>
      </c>
      <c r="E8" s="5">
        <v>2760.6</v>
      </c>
      <c r="F8" s="3">
        <f t="shared" si="0"/>
        <v>2761</v>
      </c>
    </row>
    <row r="9" spans="1:6" x14ac:dyDescent="0.3">
      <c r="A9" s="1" t="s">
        <v>39</v>
      </c>
      <c r="B9" s="1" t="s">
        <v>12</v>
      </c>
      <c r="C9" s="1" t="s">
        <v>40</v>
      </c>
      <c r="D9" s="1" t="s">
        <v>41</v>
      </c>
      <c r="E9" s="5">
        <v>4599.99</v>
      </c>
      <c r="F9" s="3">
        <f t="shared" si="0"/>
        <v>4600</v>
      </c>
    </row>
    <row r="10" spans="1:6" x14ac:dyDescent="0.3">
      <c r="A10" s="1" t="s">
        <v>42</v>
      </c>
      <c r="B10" s="1" t="s">
        <v>13</v>
      </c>
      <c r="C10" s="1" t="s">
        <v>32</v>
      </c>
      <c r="D10" s="1" t="s">
        <v>43</v>
      </c>
      <c r="E10" s="5">
        <v>3650.75</v>
      </c>
      <c r="F10" s="3">
        <f t="shared" si="0"/>
        <v>3651</v>
      </c>
    </row>
    <row r="11" spans="1:6" x14ac:dyDescent="0.3">
      <c r="A11" s="1" t="s">
        <v>44</v>
      </c>
      <c r="B11" s="1" t="s">
        <v>14</v>
      </c>
      <c r="C11" s="1" t="s">
        <v>35</v>
      </c>
      <c r="D11" s="1" t="s">
        <v>30</v>
      </c>
      <c r="E11" s="5">
        <v>1120.3</v>
      </c>
      <c r="F11" s="3">
        <f t="shared" si="0"/>
        <v>1120</v>
      </c>
    </row>
    <row r="12" spans="1:6" x14ac:dyDescent="0.3">
      <c r="A12" s="1" t="s">
        <v>45</v>
      </c>
      <c r="B12" s="1" t="s">
        <v>15</v>
      </c>
      <c r="C12" s="1" t="s">
        <v>26</v>
      </c>
      <c r="D12" s="1" t="s">
        <v>27</v>
      </c>
      <c r="E12" s="5">
        <v>2890.8</v>
      </c>
      <c r="F12" s="3">
        <f t="shared" si="0"/>
        <v>2891</v>
      </c>
    </row>
    <row r="13" spans="1:6" x14ac:dyDescent="0.3">
      <c r="A13" s="1" t="s">
        <v>46</v>
      </c>
      <c r="B13" s="1" t="s">
        <v>16</v>
      </c>
      <c r="C13" s="1" t="s">
        <v>40</v>
      </c>
      <c r="D13" s="1" t="s">
        <v>47</v>
      </c>
      <c r="E13" s="5">
        <v>7850.45</v>
      </c>
      <c r="F13" s="3">
        <f t="shared" si="0"/>
        <v>7850</v>
      </c>
    </row>
    <row r="14" spans="1:6" x14ac:dyDescent="0.3">
      <c r="A14" s="1" t="s">
        <v>48</v>
      </c>
      <c r="B14" s="1" t="s">
        <v>18</v>
      </c>
      <c r="C14" s="1" t="s">
        <v>29</v>
      </c>
      <c r="D14" s="1" t="s">
        <v>49</v>
      </c>
      <c r="E14" s="5">
        <v>6420.9</v>
      </c>
      <c r="F14" s="3">
        <f t="shared" si="0"/>
        <v>6421</v>
      </c>
    </row>
    <row r="15" spans="1:6" x14ac:dyDescent="0.3">
      <c r="A15" s="1" t="s">
        <v>50</v>
      </c>
      <c r="B15" s="1" t="s">
        <v>19</v>
      </c>
      <c r="C15" s="1" t="s">
        <v>32</v>
      </c>
      <c r="D15" s="1" t="s">
        <v>51</v>
      </c>
      <c r="E15" s="5">
        <v>5250.6</v>
      </c>
      <c r="F15" s="3">
        <f t="shared" si="0"/>
        <v>5251</v>
      </c>
    </row>
    <row r="16" spans="1:6" x14ac:dyDescent="0.3">
      <c r="A16" s="1" t="s">
        <v>52</v>
      </c>
      <c r="B16" s="1" t="s">
        <v>20</v>
      </c>
      <c r="C16" s="1" t="s">
        <v>35</v>
      </c>
      <c r="D16" s="1" t="s">
        <v>53</v>
      </c>
      <c r="E16" s="5">
        <v>4100.25</v>
      </c>
      <c r="F16" s="3">
        <f t="shared" si="0"/>
        <v>4100</v>
      </c>
    </row>
    <row r="17" spans="1:6" x14ac:dyDescent="0.3">
      <c r="A17" s="1" t="s">
        <v>54</v>
      </c>
      <c r="B17" s="1" t="s">
        <v>21</v>
      </c>
      <c r="C17" s="1" t="s">
        <v>26</v>
      </c>
      <c r="D17" s="1" t="s">
        <v>37</v>
      </c>
      <c r="E17" s="5">
        <v>2365.6999999999998</v>
      </c>
      <c r="F17" s="3">
        <f t="shared" si="0"/>
        <v>2366</v>
      </c>
    </row>
    <row r="18" spans="1:6" ht="15" thickBot="1" x14ac:dyDescent="0.35">
      <c r="D18" s="4" t="s">
        <v>56</v>
      </c>
      <c r="E18" s="6">
        <f>SUM(E3:E17)</f>
        <v>50773.139999999992</v>
      </c>
      <c r="F18" s="3">
        <f t="shared" si="0"/>
        <v>50773</v>
      </c>
    </row>
    <row r="19" spans="1:6" ht="15.6" thickTop="1" thickBot="1" x14ac:dyDescent="0.35">
      <c r="D19" s="4" t="s">
        <v>57</v>
      </c>
      <c r="E19" s="6">
        <f>AVERAGE(E3:E17)</f>
        <v>3384.8759999999993</v>
      </c>
      <c r="F19" s="3">
        <f t="shared" si="0"/>
        <v>3385</v>
      </c>
    </row>
    <row r="20" spans="1:6" ht="15" thickTop="1" x14ac:dyDescent="0.3">
      <c r="F20" s="3"/>
    </row>
    <row r="21" spans="1:6" x14ac:dyDescent="0.3">
      <c r="F21" s="3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2B84-B3CC-46AA-B63E-5082005EBA94}">
  <dimension ref="A1:J18"/>
  <sheetViews>
    <sheetView zoomScale="145" zoomScaleNormal="145" workbookViewId="0">
      <selection activeCell="J6" sqref="J6"/>
    </sheetView>
  </sheetViews>
  <sheetFormatPr defaultRowHeight="14.4" x14ac:dyDescent="0.3"/>
  <cols>
    <col min="1" max="1" width="11.109375" bestFit="1" customWidth="1"/>
    <col min="2" max="2" width="16.109375" customWidth="1"/>
    <col min="3" max="3" width="12.44140625" customWidth="1"/>
    <col min="5" max="5" width="13" customWidth="1"/>
    <col min="6" max="6" width="15.5546875" customWidth="1"/>
    <col min="7" max="7" width="13.6640625" bestFit="1" customWidth="1"/>
    <col min="8" max="8" width="2" customWidth="1"/>
    <col min="9" max="9" width="13.44140625" bestFit="1" customWidth="1"/>
    <col min="10" max="10" width="12.6640625" bestFit="1" customWidth="1"/>
  </cols>
  <sheetData>
    <row r="1" spans="1:10" ht="20.399999999999999" thickBot="1" x14ac:dyDescent="0.45">
      <c r="A1" s="16" t="s">
        <v>76</v>
      </c>
      <c r="B1" s="16"/>
      <c r="C1" s="16"/>
      <c r="D1" s="16"/>
      <c r="E1" s="16"/>
      <c r="F1" s="16"/>
      <c r="G1" s="16"/>
    </row>
    <row r="2" spans="1:10" ht="17.55" customHeight="1" thickTop="1" thickBo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59</v>
      </c>
      <c r="F2" s="2" t="s">
        <v>60</v>
      </c>
      <c r="G2" s="7" t="s">
        <v>77</v>
      </c>
      <c r="I2" s="7" t="s">
        <v>78</v>
      </c>
      <c r="J2" s="6">
        <f>SUMIFS(F3:F17,C3:C17,"Sales")</f>
        <v>307000</v>
      </c>
    </row>
    <row r="3" spans="1:10" ht="15" thickTop="1" x14ac:dyDescent="0.3">
      <c r="A3" s="1" t="s">
        <v>61</v>
      </c>
      <c r="B3" s="1" t="s">
        <v>4</v>
      </c>
      <c r="C3" s="1" t="s">
        <v>26</v>
      </c>
      <c r="D3" s="1" t="s">
        <v>5</v>
      </c>
      <c r="E3" s="5">
        <v>50000</v>
      </c>
      <c r="F3" s="5">
        <v>54000</v>
      </c>
      <c r="G3" t="str">
        <f>IF(F3&gt;=E3,"Target Achieved","Target Not Achieved")</f>
        <v>Target Achieved</v>
      </c>
    </row>
    <row r="4" spans="1:10" ht="15" thickBot="1" x14ac:dyDescent="0.35">
      <c r="A4" s="1" t="s">
        <v>62</v>
      </c>
      <c r="B4" s="1" t="s">
        <v>6</v>
      </c>
      <c r="C4" s="1" t="s">
        <v>26</v>
      </c>
      <c r="D4" s="1" t="s">
        <v>5</v>
      </c>
      <c r="E4" s="5">
        <v>50000</v>
      </c>
      <c r="F4" s="5">
        <v>47000</v>
      </c>
      <c r="G4" t="str">
        <f t="shared" ref="G4:G17" si="0">IF(F4&gt;=E4,"Target Achieved","Target Not Achieved")</f>
        <v>Target Not Achieved</v>
      </c>
      <c r="I4" s="9" t="s">
        <v>79</v>
      </c>
      <c r="J4" s="6">
        <f>SUMIFS(F3:F17,D3:D17,"Mar")</f>
        <v>248000</v>
      </c>
    </row>
    <row r="5" spans="1:10" ht="15" thickTop="1" x14ac:dyDescent="0.3">
      <c r="A5" s="1" t="s">
        <v>63</v>
      </c>
      <c r="B5" s="1" t="s">
        <v>7</v>
      </c>
      <c r="C5" s="1" t="s">
        <v>29</v>
      </c>
      <c r="D5" s="1" t="s">
        <v>5</v>
      </c>
      <c r="E5" s="5">
        <v>45000</v>
      </c>
      <c r="F5" s="5">
        <v>46000</v>
      </c>
      <c r="G5" t="str">
        <f t="shared" si="0"/>
        <v>Target Achieved</v>
      </c>
    </row>
    <row r="6" spans="1:10" ht="15" thickBot="1" x14ac:dyDescent="0.35">
      <c r="A6" s="1" t="s">
        <v>64</v>
      </c>
      <c r="B6" s="1" t="s">
        <v>8</v>
      </c>
      <c r="C6" s="1" t="s">
        <v>35</v>
      </c>
      <c r="D6" s="1" t="s">
        <v>5</v>
      </c>
      <c r="E6" s="5">
        <v>30000</v>
      </c>
      <c r="F6" s="5">
        <v>28000</v>
      </c>
      <c r="G6" t="str">
        <f t="shared" si="0"/>
        <v>Target Not Achieved</v>
      </c>
      <c r="I6" s="9" t="s">
        <v>79</v>
      </c>
      <c r="J6" s="14">
        <f>SUMIFS(F3:F17,D3:D17,"Mar",C3:C17,"Sales")</f>
        <v>106000</v>
      </c>
    </row>
    <row r="7" spans="1:10" ht="15" thickTop="1" x14ac:dyDescent="0.3">
      <c r="A7" s="1" t="s">
        <v>65</v>
      </c>
      <c r="B7" s="1" t="s">
        <v>9</v>
      </c>
      <c r="C7" s="1" t="s">
        <v>26</v>
      </c>
      <c r="D7" s="1" t="s">
        <v>5</v>
      </c>
      <c r="E7" s="5">
        <v>50000</v>
      </c>
      <c r="F7" s="5">
        <v>52000</v>
      </c>
      <c r="G7" t="str">
        <f t="shared" si="0"/>
        <v>Target Achieved</v>
      </c>
    </row>
    <row r="8" spans="1:10" x14ac:dyDescent="0.3">
      <c r="A8" s="1" t="s">
        <v>66</v>
      </c>
      <c r="B8" s="1" t="s">
        <v>10</v>
      </c>
      <c r="C8" s="1" t="s">
        <v>29</v>
      </c>
      <c r="D8" s="1" t="s">
        <v>11</v>
      </c>
      <c r="E8" s="5">
        <v>45000</v>
      </c>
      <c r="F8" s="5">
        <v>49000</v>
      </c>
      <c r="G8" t="str">
        <f t="shared" si="0"/>
        <v>Target Achieved</v>
      </c>
    </row>
    <row r="9" spans="1:10" x14ac:dyDescent="0.3">
      <c r="A9" s="1" t="s">
        <v>67</v>
      </c>
      <c r="B9" s="1" t="s">
        <v>12</v>
      </c>
      <c r="C9" s="1" t="s">
        <v>40</v>
      </c>
      <c r="D9" s="1" t="s">
        <v>11</v>
      </c>
      <c r="E9" s="5">
        <v>60000</v>
      </c>
      <c r="F9" s="5">
        <v>61000</v>
      </c>
      <c r="G9" t="str">
        <f t="shared" si="0"/>
        <v>Target Achieved</v>
      </c>
    </row>
    <row r="10" spans="1:10" x14ac:dyDescent="0.3">
      <c r="A10" s="1" t="s">
        <v>68</v>
      </c>
      <c r="B10" s="1" t="s">
        <v>13</v>
      </c>
      <c r="C10" s="1" t="s">
        <v>26</v>
      </c>
      <c r="D10" s="1" t="s">
        <v>11</v>
      </c>
      <c r="E10" s="5">
        <v>50000</v>
      </c>
      <c r="F10" s="5">
        <v>48000</v>
      </c>
      <c r="G10" t="str">
        <f t="shared" si="0"/>
        <v>Target Not Achieved</v>
      </c>
    </row>
    <row r="11" spans="1:10" x14ac:dyDescent="0.3">
      <c r="A11" s="1" t="s">
        <v>69</v>
      </c>
      <c r="B11" s="1" t="s">
        <v>14</v>
      </c>
      <c r="C11" s="1" t="s">
        <v>35</v>
      </c>
      <c r="D11" s="1" t="s">
        <v>11</v>
      </c>
      <c r="E11" s="5">
        <v>30000</v>
      </c>
      <c r="F11" s="5">
        <v>32000</v>
      </c>
      <c r="G11" t="str">
        <f t="shared" si="0"/>
        <v>Target Achieved</v>
      </c>
    </row>
    <row r="12" spans="1:10" x14ac:dyDescent="0.3">
      <c r="A12" s="1" t="s">
        <v>70</v>
      </c>
      <c r="B12" s="1" t="s">
        <v>15</v>
      </c>
      <c r="C12" s="1" t="s">
        <v>29</v>
      </c>
      <c r="D12" s="1" t="s">
        <v>11</v>
      </c>
      <c r="E12" s="5">
        <v>45000</v>
      </c>
      <c r="F12" s="5">
        <v>43000</v>
      </c>
      <c r="G12" t="str">
        <f t="shared" si="0"/>
        <v>Target Not Achieved</v>
      </c>
    </row>
    <row r="13" spans="1:10" x14ac:dyDescent="0.3">
      <c r="A13" s="1" t="s">
        <v>71</v>
      </c>
      <c r="B13" s="1" t="s">
        <v>16</v>
      </c>
      <c r="C13" s="1" t="s">
        <v>40</v>
      </c>
      <c r="D13" s="1" t="s">
        <v>17</v>
      </c>
      <c r="E13" s="5">
        <v>60000</v>
      </c>
      <c r="F13" s="5">
        <v>59000</v>
      </c>
      <c r="G13" t="str">
        <f t="shared" si="0"/>
        <v>Target Not Achieved</v>
      </c>
    </row>
    <row r="14" spans="1:10" x14ac:dyDescent="0.3">
      <c r="A14" s="1" t="s">
        <v>72</v>
      </c>
      <c r="B14" s="1" t="s">
        <v>18</v>
      </c>
      <c r="C14" s="1" t="s">
        <v>26</v>
      </c>
      <c r="D14" s="1" t="s">
        <v>17</v>
      </c>
      <c r="E14" s="5">
        <v>50000</v>
      </c>
      <c r="F14" s="5">
        <v>55000</v>
      </c>
      <c r="G14" t="str">
        <f t="shared" si="0"/>
        <v>Target Achieved</v>
      </c>
    </row>
    <row r="15" spans="1:10" x14ac:dyDescent="0.3">
      <c r="A15" s="1" t="s">
        <v>73</v>
      </c>
      <c r="B15" s="1" t="s">
        <v>19</v>
      </c>
      <c r="C15" s="1" t="s">
        <v>32</v>
      </c>
      <c r="D15" s="1" t="s">
        <v>17</v>
      </c>
      <c r="E15" s="5">
        <v>55000</v>
      </c>
      <c r="F15" s="5">
        <v>57000</v>
      </c>
      <c r="G15" t="str">
        <f t="shared" si="0"/>
        <v>Target Achieved</v>
      </c>
    </row>
    <row r="16" spans="1:10" x14ac:dyDescent="0.3">
      <c r="A16" s="1" t="s">
        <v>74</v>
      </c>
      <c r="B16" s="1" t="s">
        <v>20</v>
      </c>
      <c r="C16" s="1" t="s">
        <v>35</v>
      </c>
      <c r="D16" s="1" t="s">
        <v>17</v>
      </c>
      <c r="E16" s="5">
        <v>30000</v>
      </c>
      <c r="F16" s="5">
        <v>26000</v>
      </c>
      <c r="G16" t="str">
        <f t="shared" si="0"/>
        <v>Target Not Achieved</v>
      </c>
    </row>
    <row r="17" spans="1:7" x14ac:dyDescent="0.3">
      <c r="A17" s="1" t="s">
        <v>75</v>
      </c>
      <c r="B17" s="1" t="s">
        <v>21</v>
      </c>
      <c r="C17" s="1" t="s">
        <v>26</v>
      </c>
      <c r="D17" s="1" t="s">
        <v>17</v>
      </c>
      <c r="E17" s="5">
        <v>50000</v>
      </c>
      <c r="F17" s="5">
        <v>51000</v>
      </c>
      <c r="G17" t="str">
        <f t="shared" si="0"/>
        <v>Target Achieved</v>
      </c>
    </row>
    <row r="18" spans="1:7" x14ac:dyDescent="0.3">
      <c r="F18" s="13">
        <f>SUM(F3:F17)</f>
        <v>708000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A819F-3D4D-4830-9103-3E0383489167}">
  <dimension ref="A1:K19"/>
  <sheetViews>
    <sheetView topLeftCell="A2" zoomScale="145" zoomScaleNormal="145" workbookViewId="0">
      <selection activeCell="K8" sqref="K8"/>
    </sheetView>
  </sheetViews>
  <sheetFormatPr defaultRowHeight="14.4" x14ac:dyDescent="0.3"/>
  <cols>
    <col min="1" max="1" width="11.5546875" customWidth="1"/>
    <col min="2" max="2" width="14.33203125" bestFit="1" customWidth="1"/>
    <col min="3" max="3" width="12.21875" customWidth="1"/>
    <col min="4" max="4" width="16.33203125" customWidth="1"/>
    <col min="5" max="5" width="15.88671875" customWidth="1"/>
    <col min="6" max="6" width="11.109375" customWidth="1"/>
  </cols>
  <sheetData>
    <row r="1" spans="1:11" ht="20.399999999999999" thickBot="1" x14ac:dyDescent="0.45">
      <c r="A1" s="16" t="s">
        <v>102</v>
      </c>
      <c r="B1" s="16"/>
      <c r="C1" s="16"/>
      <c r="D1" s="16"/>
      <c r="E1" s="16"/>
      <c r="F1" s="16"/>
    </row>
    <row r="2" spans="1:11" ht="19.8" customHeight="1" thickTop="1" x14ac:dyDescent="0.3">
      <c r="A2" s="2" t="s">
        <v>80</v>
      </c>
      <c r="B2" s="2" t="s">
        <v>1</v>
      </c>
      <c r="C2" s="2" t="s">
        <v>2</v>
      </c>
      <c r="D2" s="2" t="s">
        <v>81</v>
      </c>
      <c r="E2" s="2" t="s">
        <v>82</v>
      </c>
      <c r="F2" s="2" t="s">
        <v>83</v>
      </c>
    </row>
    <row r="3" spans="1:11" x14ac:dyDescent="0.3">
      <c r="A3" s="1" t="s">
        <v>84</v>
      </c>
      <c r="B3" s="1" t="s">
        <v>4</v>
      </c>
      <c r="C3" s="1" t="s">
        <v>26</v>
      </c>
      <c r="D3" s="1">
        <v>22</v>
      </c>
      <c r="E3" s="11">
        <v>44931</v>
      </c>
      <c r="F3" s="1" t="s">
        <v>85</v>
      </c>
      <c r="G3" s="1" t="s">
        <v>85</v>
      </c>
      <c r="H3">
        <f>COUNTIF(F3:F17,"Present")</f>
        <v>11</v>
      </c>
      <c r="J3" t="s">
        <v>224</v>
      </c>
      <c r="K3">
        <f>COUNTIF(C3:C17,"Sales")</f>
        <v>4</v>
      </c>
    </row>
    <row r="4" spans="1:11" x14ac:dyDescent="0.3">
      <c r="A4" s="1" t="s">
        <v>86</v>
      </c>
      <c r="B4" s="1" t="s">
        <v>6</v>
      </c>
      <c r="C4" s="1" t="s">
        <v>29</v>
      </c>
      <c r="D4" s="1">
        <v>20</v>
      </c>
      <c r="E4" s="11">
        <v>44969</v>
      </c>
      <c r="F4" s="1" t="s">
        <v>85</v>
      </c>
      <c r="G4" s="1" t="s">
        <v>96</v>
      </c>
      <c r="H4">
        <f>COUNTIF(F3:F17,"Absent")</f>
        <v>1</v>
      </c>
      <c r="J4" t="s">
        <v>29</v>
      </c>
      <c r="K4">
        <f>COUNTIF(C3:C17,"Marketing")</f>
        <v>3</v>
      </c>
    </row>
    <row r="5" spans="1:11" x14ac:dyDescent="0.3">
      <c r="A5" s="1" t="s">
        <v>87</v>
      </c>
      <c r="B5" s="1" t="s">
        <v>7</v>
      </c>
      <c r="C5" s="1" t="s">
        <v>32</v>
      </c>
      <c r="D5" s="1">
        <v>21</v>
      </c>
      <c r="E5" s="11">
        <v>45003</v>
      </c>
      <c r="F5" s="1" t="s">
        <v>85</v>
      </c>
      <c r="G5" s="1" t="s">
        <v>89</v>
      </c>
      <c r="H5">
        <f>COUNTIF(F3:F17,"On Leave")</f>
        <v>3</v>
      </c>
      <c r="J5" t="s">
        <v>32</v>
      </c>
      <c r="K5">
        <f>COUNTIF(C3:C17,"Finance")</f>
        <v>3</v>
      </c>
    </row>
    <row r="6" spans="1:11" x14ac:dyDescent="0.3">
      <c r="A6" s="1" t="s">
        <v>88</v>
      </c>
      <c r="B6" s="1" t="s">
        <v>8</v>
      </c>
      <c r="C6" s="1" t="s">
        <v>35</v>
      </c>
      <c r="D6" s="1"/>
      <c r="E6" s="11">
        <v>45018</v>
      </c>
      <c r="F6" s="1" t="s">
        <v>89</v>
      </c>
      <c r="J6" t="s">
        <v>35</v>
      </c>
      <c r="K6">
        <f>COUNTIF(C3:C17,"HR")</f>
        <v>3</v>
      </c>
    </row>
    <row r="7" spans="1:11" x14ac:dyDescent="0.3">
      <c r="A7" s="1" t="s">
        <v>90</v>
      </c>
      <c r="B7" s="1" t="s">
        <v>9</v>
      </c>
      <c r="C7" s="1" t="s">
        <v>26</v>
      </c>
      <c r="D7" s="1">
        <v>19</v>
      </c>
      <c r="E7" s="11">
        <v>45061</v>
      </c>
      <c r="F7" s="1" t="s">
        <v>85</v>
      </c>
      <c r="J7" t="s">
        <v>40</v>
      </c>
      <c r="K7">
        <f>COUNTIF(C3:C17,"IT")</f>
        <v>2</v>
      </c>
    </row>
    <row r="8" spans="1:11" x14ac:dyDescent="0.3">
      <c r="A8" s="1" t="s">
        <v>91</v>
      </c>
      <c r="B8" s="1" t="s">
        <v>10</v>
      </c>
      <c r="C8" s="1" t="s">
        <v>29</v>
      </c>
      <c r="D8" s="1">
        <v>23</v>
      </c>
      <c r="E8" s="11">
        <v>45078</v>
      </c>
      <c r="F8" s="1" t="s">
        <v>85</v>
      </c>
    </row>
    <row r="9" spans="1:11" x14ac:dyDescent="0.3">
      <c r="A9" s="1" t="s">
        <v>92</v>
      </c>
      <c r="B9" s="1" t="s">
        <v>12</v>
      </c>
      <c r="C9" s="1" t="s">
        <v>40</v>
      </c>
      <c r="D9" s="1"/>
      <c r="E9" s="11">
        <v>45127</v>
      </c>
      <c r="F9" s="1" t="s">
        <v>89</v>
      </c>
    </row>
    <row r="10" spans="1:11" x14ac:dyDescent="0.3">
      <c r="A10" s="1" t="s">
        <v>93</v>
      </c>
      <c r="B10" s="1" t="s">
        <v>13</v>
      </c>
      <c r="C10" s="1" t="s">
        <v>32</v>
      </c>
      <c r="D10" s="1">
        <v>22</v>
      </c>
      <c r="E10" s="11">
        <v>45148</v>
      </c>
      <c r="F10" s="1" t="s">
        <v>85</v>
      </c>
    </row>
    <row r="11" spans="1:11" x14ac:dyDescent="0.3">
      <c r="A11" s="1" t="s">
        <v>94</v>
      </c>
      <c r="B11" s="1" t="s">
        <v>14</v>
      </c>
      <c r="C11" s="1" t="s">
        <v>35</v>
      </c>
      <c r="D11" s="1">
        <v>18</v>
      </c>
      <c r="E11" s="11">
        <v>45174</v>
      </c>
      <c r="F11" s="1" t="s">
        <v>85</v>
      </c>
    </row>
    <row r="12" spans="1:11" x14ac:dyDescent="0.3">
      <c r="A12" s="1" t="s">
        <v>95</v>
      </c>
      <c r="B12" s="1" t="s">
        <v>15</v>
      </c>
      <c r="C12" s="1" t="s">
        <v>26</v>
      </c>
      <c r="D12" s="1"/>
      <c r="E12" s="11">
        <v>45213</v>
      </c>
      <c r="F12" s="1" t="s">
        <v>96</v>
      </c>
    </row>
    <row r="13" spans="1:11" x14ac:dyDescent="0.3">
      <c r="A13" s="1" t="s">
        <v>97</v>
      </c>
      <c r="B13" s="1" t="s">
        <v>16</v>
      </c>
      <c r="C13" s="1" t="s">
        <v>40</v>
      </c>
      <c r="D13" s="1">
        <v>21</v>
      </c>
      <c r="E13" s="11">
        <v>45231</v>
      </c>
      <c r="F13" s="1" t="s">
        <v>85</v>
      </c>
    </row>
    <row r="14" spans="1:11" x14ac:dyDescent="0.3">
      <c r="A14" s="1" t="s">
        <v>98</v>
      </c>
      <c r="B14" s="1" t="s">
        <v>18</v>
      </c>
      <c r="C14" s="1" t="s">
        <v>29</v>
      </c>
      <c r="D14" s="1">
        <v>20</v>
      </c>
      <c r="E14" s="11">
        <v>45269</v>
      </c>
      <c r="F14" s="1" t="s">
        <v>85</v>
      </c>
    </row>
    <row r="15" spans="1:11" x14ac:dyDescent="0.3">
      <c r="A15" s="1" t="s">
        <v>99</v>
      </c>
      <c r="B15" s="1" t="s">
        <v>19</v>
      </c>
      <c r="C15" s="1" t="s">
        <v>32</v>
      </c>
      <c r="D15" s="1"/>
      <c r="E15" s="11">
        <v>45294</v>
      </c>
      <c r="F15" s="1" t="s">
        <v>89</v>
      </c>
    </row>
    <row r="16" spans="1:11" x14ac:dyDescent="0.3">
      <c r="A16" s="1" t="s">
        <v>100</v>
      </c>
      <c r="B16" s="1" t="s">
        <v>20</v>
      </c>
      <c r="C16" s="1" t="s">
        <v>35</v>
      </c>
      <c r="D16" s="1">
        <v>22</v>
      </c>
      <c r="E16" s="11">
        <v>45339</v>
      </c>
      <c r="F16" s="1" t="s">
        <v>85</v>
      </c>
    </row>
    <row r="17" spans="1:6" x14ac:dyDescent="0.3">
      <c r="A17" s="1" t="s">
        <v>101</v>
      </c>
      <c r="B17" s="1" t="s">
        <v>21</v>
      </c>
      <c r="C17" s="1" t="s">
        <v>26</v>
      </c>
      <c r="D17" s="1">
        <v>21</v>
      </c>
      <c r="E17" s="11">
        <v>45376</v>
      </c>
      <c r="F17" s="1" t="s">
        <v>85</v>
      </c>
    </row>
    <row r="18" spans="1:6" ht="15" thickBot="1" x14ac:dyDescent="0.35">
      <c r="A18" s="10"/>
      <c r="B18" s="10"/>
      <c r="C18" s="10"/>
      <c r="D18" s="10"/>
      <c r="E18" s="10"/>
      <c r="F18" s="10"/>
    </row>
    <row r="19" spans="1:6" ht="15" thickTop="1" x14ac:dyDescent="0.3"/>
  </sheetData>
  <mergeCells count="1">
    <mergeCell ref="A1:F1"/>
  </mergeCells>
  <pageMargins left="0.7" right="0.7" top="0.75" bottom="0.75" header="0.3" footer="0.3"/>
  <ignoredErrors>
    <ignoredError sqref="H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967B4-346E-4F10-BD92-4C4F501C016C}">
  <dimension ref="A1:H17"/>
  <sheetViews>
    <sheetView zoomScale="145" zoomScaleNormal="145" workbookViewId="0">
      <selection activeCell="E3" sqref="E3"/>
    </sheetView>
  </sheetViews>
  <sheetFormatPr defaultRowHeight="14.4" x14ac:dyDescent="0.3"/>
  <cols>
    <col min="1" max="3" width="12.44140625" customWidth="1"/>
    <col min="4" max="5" width="11.88671875" customWidth="1"/>
    <col min="6" max="6" width="17.21875" customWidth="1"/>
    <col min="7" max="7" width="15.88671875" customWidth="1"/>
    <col min="8" max="8" width="25.44140625" customWidth="1"/>
  </cols>
  <sheetData>
    <row r="1" spans="1:8" ht="20.399999999999999" thickBot="1" x14ac:dyDescent="0.45">
      <c r="A1" s="16" t="s">
        <v>168</v>
      </c>
      <c r="B1" s="16"/>
      <c r="C1" s="16"/>
      <c r="D1" s="16"/>
      <c r="E1" s="16"/>
      <c r="F1" s="16"/>
      <c r="G1" s="16"/>
      <c r="H1" s="16"/>
    </row>
    <row r="2" spans="1:8" ht="24.45" customHeight="1" thickTop="1" x14ac:dyDescent="0.3">
      <c r="A2" s="2" t="s">
        <v>103</v>
      </c>
      <c r="B2" s="7" t="s">
        <v>170</v>
      </c>
      <c r="C2" s="2" t="s">
        <v>104</v>
      </c>
      <c r="D2" s="2" t="s">
        <v>105</v>
      </c>
      <c r="E2" s="7" t="s">
        <v>169</v>
      </c>
      <c r="F2" s="7" t="s">
        <v>106</v>
      </c>
      <c r="G2" s="2" t="s">
        <v>107</v>
      </c>
      <c r="H2" s="2" t="s">
        <v>108</v>
      </c>
    </row>
    <row r="3" spans="1:8" x14ac:dyDescent="0.3">
      <c r="A3" s="1" t="s">
        <v>109</v>
      </c>
      <c r="B3" s="1" t="str">
        <f>RIGHT(A3,3)</f>
        <v>001</v>
      </c>
      <c r="C3" s="1" t="s">
        <v>110</v>
      </c>
      <c r="D3" s="1" t="s">
        <v>111</v>
      </c>
      <c r="E3" s="1" t="str">
        <f>_xlfn.TEXTJOIN(" ",TRUE,C3,D3)</f>
        <v>Arun Kumar</v>
      </c>
      <c r="F3" s="1" t="str">
        <f>MID(A3,4,3)</f>
        <v>SAL</v>
      </c>
      <c r="G3" s="11">
        <v>44573</v>
      </c>
      <c r="H3" s="12" t="s">
        <v>112</v>
      </c>
    </row>
    <row r="4" spans="1:8" x14ac:dyDescent="0.3">
      <c r="A4" s="1" t="s">
        <v>113</v>
      </c>
      <c r="B4" s="1" t="str">
        <f t="shared" ref="B4:B17" si="0">RIGHT(A4,3)</f>
        <v>002</v>
      </c>
      <c r="C4" s="1" t="s">
        <v>114</v>
      </c>
      <c r="D4" s="1" t="s">
        <v>115</v>
      </c>
      <c r="E4" s="1" t="str">
        <f t="shared" ref="E4:E17" si="1">_xlfn.TEXTJOIN(" ",TRUE,C4,D4)</f>
        <v>Priya Sharma</v>
      </c>
      <c r="F4" s="1" t="str">
        <f t="shared" ref="F4:F17" si="2">MID(A4,4,3)</f>
        <v>MKT</v>
      </c>
      <c r="G4" s="11">
        <v>44617</v>
      </c>
      <c r="H4" s="12" t="s">
        <v>116</v>
      </c>
    </row>
    <row r="5" spans="1:8" x14ac:dyDescent="0.3">
      <c r="A5" s="1" t="s">
        <v>117</v>
      </c>
      <c r="B5" s="1" t="str">
        <f t="shared" si="0"/>
        <v>003</v>
      </c>
      <c r="C5" s="1" t="s">
        <v>118</v>
      </c>
      <c r="D5" s="1" t="s">
        <v>119</v>
      </c>
      <c r="E5" s="1" t="str">
        <f t="shared" si="1"/>
        <v>Ramesh Iyer</v>
      </c>
      <c r="F5" s="1" t="str">
        <f t="shared" si="2"/>
        <v>FIN</v>
      </c>
      <c r="G5" s="11">
        <v>44628</v>
      </c>
      <c r="H5" s="12" t="s">
        <v>120</v>
      </c>
    </row>
    <row r="6" spans="1:8" x14ac:dyDescent="0.3">
      <c r="A6" s="1" t="s">
        <v>121</v>
      </c>
      <c r="B6" s="1" t="str">
        <f t="shared" si="0"/>
        <v>004</v>
      </c>
      <c r="C6" s="1" t="s">
        <v>122</v>
      </c>
      <c r="D6" s="1" t="s">
        <v>123</v>
      </c>
      <c r="E6" s="1" t="str">
        <f t="shared" si="1"/>
        <v>Sneha Patel</v>
      </c>
      <c r="F6" s="1" t="str">
        <f>MID(A6,4,2)</f>
        <v>HR</v>
      </c>
      <c r="G6" s="11">
        <v>44670</v>
      </c>
      <c r="H6" s="12" t="s">
        <v>124</v>
      </c>
    </row>
    <row r="7" spans="1:8" x14ac:dyDescent="0.3">
      <c r="A7" s="1" t="s">
        <v>125</v>
      </c>
      <c r="B7" s="1" t="str">
        <f t="shared" si="0"/>
        <v>005</v>
      </c>
      <c r="C7" s="1" t="s">
        <v>126</v>
      </c>
      <c r="D7" s="1" t="s">
        <v>127</v>
      </c>
      <c r="E7" s="1" t="str">
        <f t="shared" si="1"/>
        <v>Mohan Das</v>
      </c>
      <c r="F7" s="1" t="str">
        <f t="shared" si="2"/>
        <v>SAL</v>
      </c>
      <c r="G7" s="11">
        <v>44684</v>
      </c>
      <c r="H7" s="12" t="s">
        <v>128</v>
      </c>
    </row>
    <row r="8" spans="1:8" x14ac:dyDescent="0.3">
      <c r="A8" s="1" t="s">
        <v>129</v>
      </c>
      <c r="B8" s="1" t="str">
        <f t="shared" si="0"/>
        <v>006</v>
      </c>
      <c r="C8" s="1" t="s">
        <v>130</v>
      </c>
      <c r="D8" s="1" t="s">
        <v>131</v>
      </c>
      <c r="E8" s="1" t="str">
        <f t="shared" si="1"/>
        <v>Kavya Nair</v>
      </c>
      <c r="F8" s="1" t="str">
        <f>MID(A8,4,2)</f>
        <v>IT</v>
      </c>
      <c r="G8" s="11">
        <v>44726</v>
      </c>
      <c r="H8" s="12" t="s">
        <v>132</v>
      </c>
    </row>
    <row r="9" spans="1:8" x14ac:dyDescent="0.3">
      <c r="A9" s="1" t="s">
        <v>133</v>
      </c>
      <c r="B9" s="1" t="str">
        <f t="shared" si="0"/>
        <v>007</v>
      </c>
      <c r="C9" s="1" t="s">
        <v>134</v>
      </c>
      <c r="D9" s="1" t="s">
        <v>135</v>
      </c>
      <c r="E9" s="1" t="str">
        <f t="shared" si="1"/>
        <v>Rahul Mehta</v>
      </c>
      <c r="F9" s="1" t="str">
        <f t="shared" si="2"/>
        <v>MKT</v>
      </c>
      <c r="G9" s="11">
        <v>44769</v>
      </c>
      <c r="H9" s="12" t="s">
        <v>136</v>
      </c>
    </row>
    <row r="10" spans="1:8" x14ac:dyDescent="0.3">
      <c r="A10" s="1" t="s">
        <v>137</v>
      </c>
      <c r="B10" s="1" t="str">
        <f t="shared" si="0"/>
        <v>008</v>
      </c>
      <c r="C10" s="1" t="s">
        <v>138</v>
      </c>
      <c r="D10" s="1" t="s">
        <v>139</v>
      </c>
      <c r="E10" s="1" t="str">
        <f t="shared" si="1"/>
        <v>Anjali Verma</v>
      </c>
      <c r="F10" s="1" t="str">
        <f t="shared" si="2"/>
        <v>FIN</v>
      </c>
      <c r="G10" s="11">
        <v>44784</v>
      </c>
      <c r="H10" s="12" t="s">
        <v>140</v>
      </c>
    </row>
    <row r="11" spans="1:8" x14ac:dyDescent="0.3">
      <c r="A11" s="1" t="s">
        <v>141</v>
      </c>
      <c r="B11" s="1" t="str">
        <f t="shared" si="0"/>
        <v>009</v>
      </c>
      <c r="C11" s="1" t="s">
        <v>142</v>
      </c>
      <c r="D11" s="1" t="s">
        <v>143</v>
      </c>
      <c r="E11" s="1" t="str">
        <f t="shared" si="1"/>
        <v>Suresh Rao</v>
      </c>
      <c r="F11" s="1" t="str">
        <f>MID(A11,4,2)</f>
        <v>HR</v>
      </c>
      <c r="G11" s="11">
        <v>44809</v>
      </c>
      <c r="H11" s="12" t="s">
        <v>144</v>
      </c>
    </row>
    <row r="12" spans="1:8" x14ac:dyDescent="0.3">
      <c r="A12" s="1" t="s">
        <v>145</v>
      </c>
      <c r="B12" s="1" t="str">
        <f t="shared" si="0"/>
        <v>010</v>
      </c>
      <c r="C12" s="1" t="s">
        <v>146</v>
      </c>
      <c r="D12" s="1" t="s">
        <v>147</v>
      </c>
      <c r="E12" s="1" t="str">
        <f t="shared" si="1"/>
        <v>Neha Gupta</v>
      </c>
      <c r="F12" s="1" t="str">
        <f t="shared" si="2"/>
        <v>SAL</v>
      </c>
      <c r="G12" s="11">
        <v>44852</v>
      </c>
      <c r="H12" s="12" t="s">
        <v>148</v>
      </c>
    </row>
    <row r="13" spans="1:8" x14ac:dyDescent="0.3">
      <c r="A13" s="1" t="s">
        <v>149</v>
      </c>
      <c r="B13" s="1" t="str">
        <f t="shared" si="0"/>
        <v>011</v>
      </c>
      <c r="C13" s="1" t="s">
        <v>150</v>
      </c>
      <c r="D13" s="1" t="s">
        <v>151</v>
      </c>
      <c r="E13" s="1" t="str">
        <f t="shared" si="1"/>
        <v>Karthik M</v>
      </c>
      <c r="F13" s="1" t="str">
        <f>MID(A13,4,2)</f>
        <v>IT</v>
      </c>
      <c r="G13" s="11">
        <v>44867</v>
      </c>
      <c r="H13" s="12" t="s">
        <v>152</v>
      </c>
    </row>
    <row r="14" spans="1:8" x14ac:dyDescent="0.3">
      <c r="A14" s="1" t="s">
        <v>153</v>
      </c>
      <c r="B14" s="1" t="str">
        <f t="shared" si="0"/>
        <v>012</v>
      </c>
      <c r="C14" s="1" t="s">
        <v>154</v>
      </c>
      <c r="D14" s="1" t="s">
        <v>155</v>
      </c>
      <c r="E14" s="1" t="str">
        <f t="shared" si="1"/>
        <v>Pooja Singh</v>
      </c>
      <c r="F14" s="1" t="str">
        <f t="shared" si="2"/>
        <v>MKT</v>
      </c>
      <c r="G14" s="11">
        <v>44911</v>
      </c>
      <c r="H14" s="12" t="s">
        <v>156</v>
      </c>
    </row>
    <row r="15" spans="1:8" x14ac:dyDescent="0.3">
      <c r="A15" s="1" t="s">
        <v>157</v>
      </c>
      <c r="B15" s="1" t="str">
        <f t="shared" si="0"/>
        <v>013</v>
      </c>
      <c r="C15" s="1" t="s">
        <v>158</v>
      </c>
      <c r="D15" s="1" t="s">
        <v>111</v>
      </c>
      <c r="E15" s="1" t="str">
        <f t="shared" si="1"/>
        <v>Vinod Kumar</v>
      </c>
      <c r="F15" s="1" t="str">
        <f t="shared" si="2"/>
        <v>FIN</v>
      </c>
      <c r="G15" s="11">
        <v>44933</v>
      </c>
      <c r="H15" s="12" t="s">
        <v>159</v>
      </c>
    </row>
    <row r="16" spans="1:8" x14ac:dyDescent="0.3">
      <c r="A16" s="1" t="s">
        <v>160</v>
      </c>
      <c r="B16" s="1" t="str">
        <f t="shared" si="0"/>
        <v>014</v>
      </c>
      <c r="C16" s="1" t="s">
        <v>161</v>
      </c>
      <c r="D16" s="1" t="s">
        <v>162</v>
      </c>
      <c r="E16" s="1" t="str">
        <f t="shared" si="1"/>
        <v>Deepa R</v>
      </c>
      <c r="F16" s="1" t="str">
        <f>MID(A16,4,2)</f>
        <v>HR</v>
      </c>
      <c r="G16" s="11">
        <v>44978</v>
      </c>
      <c r="H16" s="12" t="s">
        <v>163</v>
      </c>
    </row>
    <row r="17" spans="1:8" x14ac:dyDescent="0.3">
      <c r="A17" s="1" t="s">
        <v>164</v>
      </c>
      <c r="B17" s="1" t="str">
        <f t="shared" si="0"/>
        <v>015</v>
      </c>
      <c r="C17" s="1" t="s">
        <v>165</v>
      </c>
      <c r="D17" s="1" t="s">
        <v>166</v>
      </c>
      <c r="E17" s="1" t="str">
        <f t="shared" si="1"/>
        <v>Amit Shah</v>
      </c>
      <c r="F17" s="1" t="str">
        <f t="shared" si="2"/>
        <v>SAL</v>
      </c>
      <c r="G17" s="11">
        <v>44995</v>
      </c>
      <c r="H17" s="12" t="s">
        <v>167</v>
      </c>
    </row>
  </sheetData>
  <mergeCells count="1">
    <mergeCell ref="A1:H1"/>
  </mergeCells>
  <hyperlinks>
    <hyperlink ref="H3" r:id="rId1" display="mailto:arun.kumar@company.com" xr:uid="{6125DCF7-EF12-4D46-8574-6B90BCC96DF9}"/>
    <hyperlink ref="H4" r:id="rId2" display="mailto:priya.sharma@company.com" xr:uid="{7E90D7BB-B11D-44C8-90CE-F386E338F161}"/>
    <hyperlink ref="H5" r:id="rId3" display="mailto:ramesh.iyer@company.com" xr:uid="{6B412009-78AC-460D-9DDC-BF5A023A3512}"/>
    <hyperlink ref="H6" r:id="rId4" display="mailto:sneha.patel@company.com" xr:uid="{2E308A8E-9C34-4410-8701-AC39EB48E91A}"/>
    <hyperlink ref="H7" r:id="rId5" display="mailto:mohan.das@company.com" xr:uid="{E761F9FC-963E-4583-B5C3-8D6AF0F4C7D9}"/>
    <hyperlink ref="H8" r:id="rId6" display="mailto:kavya.nair@company.com" xr:uid="{4086EFC4-4A2A-460C-BE57-441BBC850B62}"/>
    <hyperlink ref="H9" r:id="rId7" display="mailto:rahul.mehta@company.com" xr:uid="{8C13B0B6-E173-4AF3-8C0B-C5A6D0432184}"/>
    <hyperlink ref="H10" r:id="rId8" display="mailto:anjali.verma@company.com" xr:uid="{54A15046-8D0A-44C3-8D39-FAAB559A50AE}"/>
    <hyperlink ref="H11" r:id="rId9" display="mailto:suresh.rao@company.com" xr:uid="{53C3C426-79E9-4EA8-8A77-C8BD91C3AA7B}"/>
    <hyperlink ref="H12" r:id="rId10" display="mailto:neha.gupta@company.com" xr:uid="{3EF02DD0-FCEF-46B7-9A21-509D1F981C08}"/>
    <hyperlink ref="H13" r:id="rId11" display="mailto:karthik.m@company.com" xr:uid="{AC12FC9E-11C3-4D16-9118-56178F437150}"/>
    <hyperlink ref="H14" r:id="rId12" display="mailto:pooja.singh@company.com" xr:uid="{C8F1E199-865F-42AA-8E5E-1C3A044784EC}"/>
    <hyperlink ref="H15" r:id="rId13" display="mailto:vinod.kumar@company.com" xr:uid="{04550CF3-5DC0-4EC7-80AD-2DAE9A91F0FC}"/>
    <hyperlink ref="H16" r:id="rId14" display="mailto:deepa.r@company.com" xr:uid="{9892DEB5-4C60-47E5-AE5E-467BEA7831D7}"/>
    <hyperlink ref="H17" r:id="rId15" display="mailto:amit.shah@company.com" xr:uid="{C08B4745-6DC4-40FB-9ED9-CF6DE4E03162}"/>
  </hyperlinks>
  <pageMargins left="0.7" right="0.7" top="0.75" bottom="0.75" header="0.3" footer="0.3"/>
  <ignoredErrors>
    <ignoredError sqref="F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07D92-073D-4943-A0D6-FB0E7123E600}">
  <dimension ref="A1:K16"/>
  <sheetViews>
    <sheetView tabSelected="1" topLeftCell="D1" zoomScale="160" zoomScaleNormal="160" workbookViewId="0">
      <selection activeCell="G3" sqref="G3"/>
    </sheetView>
  </sheetViews>
  <sheetFormatPr defaultRowHeight="14.4" x14ac:dyDescent="0.3"/>
  <cols>
    <col min="1" max="1" width="13.109375" customWidth="1"/>
    <col min="2" max="2" width="17.44140625" customWidth="1"/>
    <col min="3" max="3" width="12.88671875" customWidth="1"/>
    <col min="4" max="4" width="16.6640625" bestFit="1" customWidth="1"/>
    <col min="5" max="5" width="18.5546875" customWidth="1"/>
    <col min="6" max="6" width="1.6640625" customWidth="1"/>
    <col min="7" max="7" width="10.77734375" bestFit="1" customWidth="1"/>
    <col min="8" max="8" width="14" bestFit="1" customWidth="1"/>
    <col min="9" max="9" width="10.44140625" bestFit="1" customWidth="1"/>
    <col min="10" max="10" width="16.6640625" bestFit="1" customWidth="1"/>
    <col min="11" max="11" width="15.33203125" bestFit="1" customWidth="1"/>
  </cols>
  <sheetData>
    <row r="1" spans="1:11" ht="20.100000000000001" customHeight="1" x14ac:dyDescent="0.3">
      <c r="A1" s="2" t="s">
        <v>0</v>
      </c>
      <c r="B1" s="2" t="s">
        <v>1</v>
      </c>
      <c r="C1" s="2" t="s">
        <v>2</v>
      </c>
      <c r="D1" s="2" t="s">
        <v>171</v>
      </c>
      <c r="E1" s="2" t="s">
        <v>172</v>
      </c>
      <c r="G1" s="7" t="s">
        <v>0</v>
      </c>
      <c r="H1" s="7" t="s">
        <v>1</v>
      </c>
      <c r="I1" s="7" t="s">
        <v>2</v>
      </c>
      <c r="J1" s="7" t="s">
        <v>171</v>
      </c>
      <c r="K1" s="7" t="s">
        <v>172</v>
      </c>
    </row>
    <row r="2" spans="1:11" x14ac:dyDescent="0.3">
      <c r="A2" s="1" t="s">
        <v>173</v>
      </c>
      <c r="B2" s="1" t="s">
        <v>4</v>
      </c>
      <c r="C2" s="1" t="s">
        <v>26</v>
      </c>
      <c r="D2" s="1">
        <v>4.2</v>
      </c>
      <c r="E2" s="5">
        <v>45000</v>
      </c>
      <c r="G2" t="str" cm="1">
        <f t="array" ref="G2:K16">_xlfn.SORTBY(A2:E16,D2:D16,-1)</f>
        <v>EMP113</v>
      </c>
      <c r="H2" t="str">
        <v>Vinod Kumar</v>
      </c>
      <c r="I2" t="str">
        <v>Finance</v>
      </c>
      <c r="J2">
        <v>4.8</v>
      </c>
      <c r="K2">
        <v>68000</v>
      </c>
    </row>
    <row r="3" spans="1:11" x14ac:dyDescent="0.3">
      <c r="A3" s="1" t="s">
        <v>174</v>
      </c>
      <c r="B3" s="1" t="s">
        <v>6</v>
      </c>
      <c r="C3" s="1" t="s">
        <v>29</v>
      </c>
      <c r="D3" s="1">
        <v>3.8</v>
      </c>
      <c r="E3" s="5">
        <v>52000</v>
      </c>
      <c r="G3" t="str">
        <v>EMP106</v>
      </c>
      <c r="H3" t="str">
        <v>Kavya Nair</v>
      </c>
      <c r="I3" t="str">
        <v>IT</v>
      </c>
      <c r="J3">
        <v>4.7</v>
      </c>
      <c r="K3">
        <v>65000</v>
      </c>
    </row>
    <row r="4" spans="1:11" x14ac:dyDescent="0.3">
      <c r="A4" s="1" t="s">
        <v>175</v>
      </c>
      <c r="B4" s="1" t="s">
        <v>7</v>
      </c>
      <c r="C4" s="1" t="s">
        <v>32</v>
      </c>
      <c r="D4" s="1">
        <v>4.5</v>
      </c>
      <c r="E4" s="5">
        <v>58000</v>
      </c>
      <c r="G4" t="str">
        <v>EMP110</v>
      </c>
      <c r="H4" t="str">
        <v>Neha Gupta</v>
      </c>
      <c r="I4" t="str">
        <v>Sales</v>
      </c>
      <c r="J4">
        <v>4.5999999999999996</v>
      </c>
      <c r="K4">
        <v>62000</v>
      </c>
    </row>
    <row r="5" spans="1:11" x14ac:dyDescent="0.3">
      <c r="A5" s="1" t="s">
        <v>176</v>
      </c>
      <c r="B5" s="1" t="s">
        <v>8</v>
      </c>
      <c r="C5" s="1" t="s">
        <v>35</v>
      </c>
      <c r="D5" s="1">
        <v>3.6</v>
      </c>
      <c r="E5" s="5">
        <v>42000</v>
      </c>
      <c r="G5" t="str">
        <v>EMP103</v>
      </c>
      <c r="H5" t="str">
        <v>Ramesh Iyer</v>
      </c>
      <c r="I5" t="str">
        <v>Finance</v>
      </c>
      <c r="J5">
        <v>4.5</v>
      </c>
      <c r="K5">
        <v>58000</v>
      </c>
    </row>
    <row r="6" spans="1:11" x14ac:dyDescent="0.3">
      <c r="A6" s="1" t="s">
        <v>177</v>
      </c>
      <c r="B6" s="1" t="s">
        <v>9</v>
      </c>
      <c r="C6" s="1" t="s">
        <v>26</v>
      </c>
      <c r="D6" s="1">
        <v>4</v>
      </c>
      <c r="E6" s="5">
        <v>48000</v>
      </c>
      <c r="G6" t="str">
        <v>EMP115</v>
      </c>
      <c r="H6" t="str">
        <v>Amit Shah</v>
      </c>
      <c r="I6" t="str">
        <v>Sales</v>
      </c>
      <c r="J6">
        <v>4.4000000000000004</v>
      </c>
      <c r="K6">
        <v>59000</v>
      </c>
    </row>
    <row r="7" spans="1:11" x14ac:dyDescent="0.3">
      <c r="A7" s="1" t="s">
        <v>178</v>
      </c>
      <c r="B7" s="1" t="s">
        <v>10</v>
      </c>
      <c r="C7" s="1" t="s">
        <v>40</v>
      </c>
      <c r="D7" s="1">
        <v>4.7</v>
      </c>
      <c r="E7" s="5">
        <v>65000</v>
      </c>
      <c r="G7" t="str">
        <v>EMP108</v>
      </c>
      <c r="H7" t="str">
        <v>Anjali Verma</v>
      </c>
      <c r="I7" t="str">
        <v>Finance</v>
      </c>
      <c r="J7">
        <v>4.3</v>
      </c>
      <c r="K7">
        <v>60000</v>
      </c>
    </row>
    <row r="8" spans="1:11" x14ac:dyDescent="0.3">
      <c r="A8" s="1" t="s">
        <v>179</v>
      </c>
      <c r="B8" s="1" t="s">
        <v>12</v>
      </c>
      <c r="C8" s="1" t="s">
        <v>29</v>
      </c>
      <c r="D8" s="1">
        <v>3.9</v>
      </c>
      <c r="E8" s="5">
        <v>50000</v>
      </c>
      <c r="G8" t="str">
        <v>EMP101</v>
      </c>
      <c r="H8" t="str">
        <v>Arun Kumar</v>
      </c>
      <c r="I8" t="str">
        <v>Sales</v>
      </c>
      <c r="J8">
        <v>4.2</v>
      </c>
      <c r="K8">
        <v>45000</v>
      </c>
    </row>
    <row r="9" spans="1:11" x14ac:dyDescent="0.3">
      <c r="A9" s="1" t="s">
        <v>180</v>
      </c>
      <c r="B9" s="1" t="s">
        <v>13</v>
      </c>
      <c r="C9" s="1" t="s">
        <v>32</v>
      </c>
      <c r="D9" s="1">
        <v>4.3</v>
      </c>
      <c r="E9" s="5">
        <v>60000</v>
      </c>
      <c r="G9" t="str">
        <v>EMP111</v>
      </c>
      <c r="H9" t="str">
        <v>Karthik M</v>
      </c>
      <c r="I9" t="str">
        <v>IT</v>
      </c>
      <c r="J9">
        <v>4.0999999999999996</v>
      </c>
      <c r="K9">
        <v>57000</v>
      </c>
    </row>
    <row r="10" spans="1:11" x14ac:dyDescent="0.3">
      <c r="A10" s="1" t="s">
        <v>181</v>
      </c>
      <c r="B10" s="1" t="s">
        <v>14</v>
      </c>
      <c r="C10" s="1" t="s">
        <v>35</v>
      </c>
      <c r="D10" s="1">
        <v>3.5</v>
      </c>
      <c r="E10" s="5">
        <v>41000</v>
      </c>
      <c r="G10" t="str">
        <v>EMP105</v>
      </c>
      <c r="H10" t="str">
        <v>Mohan Das</v>
      </c>
      <c r="I10" t="str">
        <v>Sales</v>
      </c>
      <c r="J10">
        <v>4</v>
      </c>
      <c r="K10">
        <v>48000</v>
      </c>
    </row>
    <row r="11" spans="1:11" x14ac:dyDescent="0.3">
      <c r="A11" s="1" t="s">
        <v>182</v>
      </c>
      <c r="B11" s="1" t="s">
        <v>15</v>
      </c>
      <c r="C11" s="1" t="s">
        <v>26</v>
      </c>
      <c r="D11" s="1">
        <v>4.5999999999999996</v>
      </c>
      <c r="E11" s="5">
        <v>62000</v>
      </c>
      <c r="G11" t="str">
        <v>EMP107</v>
      </c>
      <c r="H11" t="str">
        <v>Rahul Mehta</v>
      </c>
      <c r="I11" t="str">
        <v>Marketing</v>
      </c>
      <c r="J11">
        <v>3.9</v>
      </c>
      <c r="K11">
        <v>50000</v>
      </c>
    </row>
    <row r="12" spans="1:11" x14ac:dyDescent="0.3">
      <c r="A12" s="1" t="s">
        <v>183</v>
      </c>
      <c r="B12" s="1" t="s">
        <v>16</v>
      </c>
      <c r="C12" s="1" t="s">
        <v>40</v>
      </c>
      <c r="D12" s="1">
        <v>4.0999999999999996</v>
      </c>
      <c r="E12" s="5">
        <v>57000</v>
      </c>
      <c r="G12" t="str">
        <v>EMP102</v>
      </c>
      <c r="H12" t="str">
        <v>Priya Sharma</v>
      </c>
      <c r="I12" t="str">
        <v>Marketing</v>
      </c>
      <c r="J12">
        <v>3.8</v>
      </c>
      <c r="K12">
        <v>52000</v>
      </c>
    </row>
    <row r="13" spans="1:11" x14ac:dyDescent="0.3">
      <c r="A13" s="1" t="s">
        <v>184</v>
      </c>
      <c r="B13" s="1" t="s">
        <v>18</v>
      </c>
      <c r="C13" s="1" t="s">
        <v>29</v>
      </c>
      <c r="D13" s="1">
        <v>3.7</v>
      </c>
      <c r="E13" s="5">
        <v>49000</v>
      </c>
      <c r="G13" t="str">
        <v>EMP112</v>
      </c>
      <c r="H13" t="str">
        <v>Pooja Singh</v>
      </c>
      <c r="I13" t="str">
        <v>Marketing</v>
      </c>
      <c r="J13">
        <v>3.7</v>
      </c>
      <c r="K13">
        <v>49000</v>
      </c>
    </row>
    <row r="14" spans="1:11" x14ac:dyDescent="0.3">
      <c r="A14" s="1" t="s">
        <v>185</v>
      </c>
      <c r="B14" s="1" t="s">
        <v>19</v>
      </c>
      <c r="C14" s="1" t="s">
        <v>32</v>
      </c>
      <c r="D14" s="1">
        <v>4.8</v>
      </c>
      <c r="E14" s="5">
        <v>68000</v>
      </c>
      <c r="G14" t="str">
        <v>EMP104</v>
      </c>
      <c r="H14" t="str">
        <v>Sneha Patel</v>
      </c>
      <c r="I14" t="str">
        <v>HR</v>
      </c>
      <c r="J14">
        <v>3.6</v>
      </c>
      <c r="K14">
        <v>42000</v>
      </c>
    </row>
    <row r="15" spans="1:11" x14ac:dyDescent="0.3">
      <c r="A15" s="1" t="s">
        <v>186</v>
      </c>
      <c r="B15" s="1" t="s">
        <v>20</v>
      </c>
      <c r="C15" s="1" t="s">
        <v>35</v>
      </c>
      <c r="D15" s="1">
        <v>3.4</v>
      </c>
      <c r="E15" s="5">
        <v>40000</v>
      </c>
      <c r="G15" t="str">
        <v>EMP109</v>
      </c>
      <c r="H15" t="str">
        <v>Suresh Rao</v>
      </c>
      <c r="I15" t="str">
        <v>HR</v>
      </c>
      <c r="J15">
        <v>3.5</v>
      </c>
      <c r="K15">
        <v>41000</v>
      </c>
    </row>
    <row r="16" spans="1:11" x14ac:dyDescent="0.3">
      <c r="A16" s="1" t="s">
        <v>187</v>
      </c>
      <c r="B16" s="1" t="s">
        <v>21</v>
      </c>
      <c r="C16" s="1" t="s">
        <v>26</v>
      </c>
      <c r="D16" s="1">
        <v>4.4000000000000004</v>
      </c>
      <c r="E16" s="5">
        <v>59000</v>
      </c>
      <c r="G16" t="str">
        <v>EMP114</v>
      </c>
      <c r="H16" t="str">
        <v>Deepa R</v>
      </c>
      <c r="I16" t="str">
        <v>HR</v>
      </c>
      <c r="J16">
        <v>3.4</v>
      </c>
      <c r="K16">
        <v>40000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D6AB7-DDDA-4625-9878-3DFB832E9CF2}">
  <dimension ref="A1:F17"/>
  <sheetViews>
    <sheetView zoomScale="145" zoomScaleNormal="145" workbookViewId="0">
      <selection activeCell="H16" sqref="H16"/>
    </sheetView>
  </sheetViews>
  <sheetFormatPr defaultRowHeight="14.4" x14ac:dyDescent="0.3"/>
  <cols>
    <col min="1" max="1" width="12.44140625" customWidth="1"/>
    <col min="2" max="2" width="16.88671875" customWidth="1"/>
    <col min="3" max="3" width="13.109375" customWidth="1"/>
    <col min="4" max="4" width="13.33203125" customWidth="1"/>
    <col min="5" max="5" width="11.109375" customWidth="1"/>
    <col min="6" max="6" width="11.109375" bestFit="1" customWidth="1"/>
  </cols>
  <sheetData>
    <row r="1" spans="1:6" ht="19.8" x14ac:dyDescent="0.4">
      <c r="A1" s="15" t="s">
        <v>188</v>
      </c>
      <c r="B1" s="15"/>
      <c r="C1" s="15"/>
      <c r="D1" s="15"/>
      <c r="E1" s="15"/>
      <c r="F1" s="15"/>
    </row>
    <row r="2" spans="1:6" x14ac:dyDescent="0.3">
      <c r="A2" s="2" t="s">
        <v>0</v>
      </c>
      <c r="B2" s="2" t="s">
        <v>1</v>
      </c>
      <c r="C2" s="2" t="s">
        <v>2</v>
      </c>
      <c r="D2" s="2" t="s">
        <v>189</v>
      </c>
      <c r="E2" s="7" t="s">
        <v>222</v>
      </c>
      <c r="F2" s="7" t="s">
        <v>223</v>
      </c>
    </row>
    <row r="3" spans="1:6" x14ac:dyDescent="0.3">
      <c r="A3" s="1" t="s">
        <v>190</v>
      </c>
      <c r="B3" s="1" t="s">
        <v>4</v>
      </c>
      <c r="C3" s="1" t="s">
        <v>26</v>
      </c>
      <c r="D3" s="1">
        <v>24</v>
      </c>
      <c r="E3" s="8">
        <f>_xlfn.XLOOKUP(A3,'Lookup Function S2'!A3:A17,'Lookup Function S2'!C3:C17)</f>
        <v>1800</v>
      </c>
      <c r="F3" s="8">
        <f>PRODUCT(D3,E3)</f>
        <v>43200</v>
      </c>
    </row>
    <row r="4" spans="1:6" x14ac:dyDescent="0.3">
      <c r="A4" s="1" t="s">
        <v>191</v>
      </c>
      <c r="B4" s="1" t="s">
        <v>6</v>
      </c>
      <c r="C4" s="1" t="s">
        <v>29</v>
      </c>
      <c r="D4" s="1">
        <v>22</v>
      </c>
      <c r="E4" s="8">
        <f>_xlfn.XLOOKUP(A4,'Lookup Function S2'!A4:A18,'Lookup Function S2'!C4:C18)</f>
        <v>2000</v>
      </c>
      <c r="F4" s="8">
        <f t="shared" ref="F4:F17" si="0">PRODUCT(D4,E4)</f>
        <v>44000</v>
      </c>
    </row>
    <row r="5" spans="1:6" x14ac:dyDescent="0.3">
      <c r="A5" s="1" t="s">
        <v>192</v>
      </c>
      <c r="B5" s="1" t="s">
        <v>7</v>
      </c>
      <c r="C5" s="1" t="s">
        <v>32</v>
      </c>
      <c r="D5" s="1">
        <v>25</v>
      </c>
      <c r="E5" s="8">
        <f>_xlfn.XLOOKUP(A5,'Lookup Function S2'!A5:A19,'Lookup Function S2'!C5:C19)</f>
        <v>2200</v>
      </c>
      <c r="F5" s="8">
        <f t="shared" si="0"/>
        <v>55000</v>
      </c>
    </row>
    <row r="6" spans="1:6" x14ac:dyDescent="0.3">
      <c r="A6" s="1" t="s">
        <v>193</v>
      </c>
      <c r="B6" s="1" t="s">
        <v>8</v>
      </c>
      <c r="C6" s="1" t="s">
        <v>35</v>
      </c>
      <c r="D6" s="1">
        <v>21</v>
      </c>
      <c r="E6" s="8">
        <f>_xlfn.XLOOKUP(A6,'Lookup Function S2'!A6:A20,'Lookup Function S2'!C6:C20)</f>
        <v>1700</v>
      </c>
      <c r="F6" s="8">
        <f t="shared" si="0"/>
        <v>35700</v>
      </c>
    </row>
    <row r="7" spans="1:6" x14ac:dyDescent="0.3">
      <c r="A7" s="1" t="s">
        <v>194</v>
      </c>
      <c r="B7" s="1" t="s">
        <v>9</v>
      </c>
      <c r="C7" s="1" t="s">
        <v>26</v>
      </c>
      <c r="D7" s="1">
        <v>23</v>
      </c>
      <c r="E7" s="8">
        <f>_xlfn.XLOOKUP(A7,'Lookup Function S2'!A7:A21,'Lookup Function S2'!C7:C21)</f>
        <v>1800</v>
      </c>
      <c r="F7" s="8">
        <f t="shared" si="0"/>
        <v>41400</v>
      </c>
    </row>
    <row r="8" spans="1:6" x14ac:dyDescent="0.3">
      <c r="A8" s="1" t="s">
        <v>195</v>
      </c>
      <c r="B8" s="1" t="s">
        <v>10</v>
      </c>
      <c r="C8" s="1" t="s">
        <v>40</v>
      </c>
      <c r="D8" s="1">
        <v>26</v>
      </c>
      <c r="E8" s="8">
        <f>_xlfn.XLOOKUP(A8,'Lookup Function S2'!A8:A22,'Lookup Function S2'!C8:C22)</f>
        <v>2500</v>
      </c>
      <c r="F8" s="8">
        <f t="shared" si="0"/>
        <v>65000</v>
      </c>
    </row>
    <row r="9" spans="1:6" x14ac:dyDescent="0.3">
      <c r="A9" s="1" t="s">
        <v>196</v>
      </c>
      <c r="B9" s="1" t="s">
        <v>12</v>
      </c>
      <c r="C9" s="1" t="s">
        <v>29</v>
      </c>
      <c r="D9" s="1">
        <v>20</v>
      </c>
      <c r="E9" s="8">
        <f>_xlfn.XLOOKUP(A9,'Lookup Function S2'!A9:A23,'Lookup Function S2'!C9:C23)</f>
        <v>2000</v>
      </c>
      <c r="F9" s="8">
        <f t="shared" si="0"/>
        <v>40000</v>
      </c>
    </row>
    <row r="10" spans="1:6" x14ac:dyDescent="0.3">
      <c r="A10" s="1" t="s">
        <v>197</v>
      </c>
      <c r="B10" s="1" t="s">
        <v>13</v>
      </c>
      <c r="C10" s="1" t="s">
        <v>32</v>
      </c>
      <c r="D10" s="1">
        <v>24</v>
      </c>
      <c r="E10" s="8">
        <f>_xlfn.XLOOKUP(A10,'Lookup Function S2'!A10:A24,'Lookup Function S2'!C10:C24)</f>
        <v>2200</v>
      </c>
      <c r="F10" s="8">
        <f t="shared" si="0"/>
        <v>52800</v>
      </c>
    </row>
    <row r="11" spans="1:6" x14ac:dyDescent="0.3">
      <c r="A11" s="1" t="s">
        <v>198</v>
      </c>
      <c r="B11" s="1" t="s">
        <v>14</v>
      </c>
      <c r="C11" s="1" t="s">
        <v>35</v>
      </c>
      <c r="D11" s="1">
        <v>22</v>
      </c>
      <c r="E11" s="8">
        <f>_xlfn.XLOOKUP(A11,'Lookup Function S2'!A11:A25,'Lookup Function S2'!C11:C25)</f>
        <v>1700</v>
      </c>
      <c r="F11" s="8">
        <f t="shared" si="0"/>
        <v>37400</v>
      </c>
    </row>
    <row r="12" spans="1:6" x14ac:dyDescent="0.3">
      <c r="A12" s="1" t="s">
        <v>199</v>
      </c>
      <c r="B12" s="1" t="s">
        <v>15</v>
      </c>
      <c r="C12" s="1" t="s">
        <v>26</v>
      </c>
      <c r="D12" s="1">
        <v>25</v>
      </c>
      <c r="E12" s="8">
        <f>_xlfn.XLOOKUP(A12,'Lookup Function S2'!A12:A26,'Lookup Function S2'!C12:C26)</f>
        <v>2600</v>
      </c>
      <c r="F12" s="8">
        <f t="shared" si="0"/>
        <v>65000</v>
      </c>
    </row>
    <row r="13" spans="1:6" x14ac:dyDescent="0.3">
      <c r="A13" s="1" t="s">
        <v>200</v>
      </c>
      <c r="B13" s="1" t="s">
        <v>16</v>
      </c>
      <c r="C13" s="1" t="s">
        <v>40</v>
      </c>
      <c r="D13" s="1">
        <v>23</v>
      </c>
      <c r="E13" s="8">
        <f>_xlfn.XLOOKUP(A13,'Lookup Function S2'!A13:A27,'Lookup Function S2'!C13:C27)</f>
        <v>2500</v>
      </c>
      <c r="F13" s="8">
        <f t="shared" si="0"/>
        <v>57500</v>
      </c>
    </row>
    <row r="14" spans="1:6" x14ac:dyDescent="0.3">
      <c r="A14" s="1" t="s">
        <v>201</v>
      </c>
      <c r="B14" s="1" t="s">
        <v>18</v>
      </c>
      <c r="C14" s="1" t="s">
        <v>29</v>
      </c>
      <c r="D14" s="1">
        <v>21</v>
      </c>
      <c r="E14" s="8">
        <f>_xlfn.XLOOKUP(A14,'Lookup Function S2'!A14:A28,'Lookup Function S2'!C14:C28)</f>
        <v>2000</v>
      </c>
      <c r="F14" s="8">
        <f t="shared" si="0"/>
        <v>42000</v>
      </c>
    </row>
    <row r="15" spans="1:6" x14ac:dyDescent="0.3">
      <c r="A15" s="1" t="s">
        <v>202</v>
      </c>
      <c r="B15" s="1" t="s">
        <v>19</v>
      </c>
      <c r="C15" s="1" t="s">
        <v>32</v>
      </c>
      <c r="D15" s="1">
        <v>26</v>
      </c>
      <c r="E15" s="8">
        <f>_xlfn.XLOOKUP(A15,'Lookup Function S2'!A15:A29,'Lookup Function S2'!C15:C29)</f>
        <v>2800</v>
      </c>
      <c r="F15" s="8">
        <f t="shared" si="0"/>
        <v>72800</v>
      </c>
    </row>
    <row r="16" spans="1:6" x14ac:dyDescent="0.3">
      <c r="A16" s="1" t="s">
        <v>203</v>
      </c>
      <c r="B16" s="1" t="s">
        <v>20</v>
      </c>
      <c r="C16" s="1" t="s">
        <v>35</v>
      </c>
      <c r="D16" s="1">
        <v>20</v>
      </c>
      <c r="E16" s="8">
        <f>_xlfn.XLOOKUP(A16,'Lookup Function S2'!A16:A30,'Lookup Function S2'!C16:C30)</f>
        <v>1700</v>
      </c>
      <c r="F16" s="8">
        <f t="shared" si="0"/>
        <v>34000</v>
      </c>
    </row>
    <row r="17" spans="1:6" x14ac:dyDescent="0.3">
      <c r="A17" s="1" t="s">
        <v>204</v>
      </c>
      <c r="B17" s="1" t="s">
        <v>21</v>
      </c>
      <c r="C17" s="1" t="s">
        <v>26</v>
      </c>
      <c r="D17" s="1">
        <v>24</v>
      </c>
      <c r="E17" s="8">
        <f>_xlfn.XLOOKUP(A17,'Lookup Function S2'!A17:A31,'Lookup Function S2'!C17:C31)</f>
        <v>1800</v>
      </c>
      <c r="F17" s="8">
        <f t="shared" si="0"/>
        <v>43200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15C10-EDD6-4B29-A677-FE886374610F}">
  <dimension ref="A1:D17"/>
  <sheetViews>
    <sheetView zoomScale="145" zoomScaleNormal="145" workbookViewId="0">
      <selection activeCell="D3" sqref="D3"/>
    </sheetView>
  </sheetViews>
  <sheetFormatPr defaultRowHeight="14.4" x14ac:dyDescent="0.3"/>
  <cols>
    <col min="1" max="1" width="13.6640625" customWidth="1"/>
    <col min="2" max="2" width="18.77734375" customWidth="1"/>
    <col min="3" max="3" width="15.44140625" customWidth="1"/>
    <col min="4" max="4" width="12.21875" customWidth="1"/>
  </cols>
  <sheetData>
    <row r="1" spans="1:4" ht="20.399999999999999" thickBot="1" x14ac:dyDescent="0.45">
      <c r="A1" s="16" t="s">
        <v>205</v>
      </c>
      <c r="B1" s="16"/>
      <c r="C1" s="16"/>
      <c r="D1" s="16"/>
    </row>
    <row r="2" spans="1:4" ht="15" thickTop="1" x14ac:dyDescent="0.3">
      <c r="A2" s="2" t="s">
        <v>0</v>
      </c>
      <c r="B2" s="2" t="s">
        <v>206</v>
      </c>
      <c r="C2" s="2" t="s">
        <v>207</v>
      </c>
      <c r="D2" s="2" t="s">
        <v>208</v>
      </c>
    </row>
    <row r="3" spans="1:4" x14ac:dyDescent="0.3">
      <c r="A3" s="1" t="s">
        <v>190</v>
      </c>
      <c r="B3" s="1" t="s">
        <v>209</v>
      </c>
      <c r="C3" s="5">
        <v>1800</v>
      </c>
      <c r="D3" s="1" t="s">
        <v>210</v>
      </c>
    </row>
    <row r="4" spans="1:4" x14ac:dyDescent="0.3">
      <c r="A4" s="1" t="s">
        <v>191</v>
      </c>
      <c r="B4" s="1" t="s">
        <v>211</v>
      </c>
      <c r="C4" s="5">
        <v>2000</v>
      </c>
      <c r="D4" s="1" t="s">
        <v>212</v>
      </c>
    </row>
    <row r="5" spans="1:4" x14ac:dyDescent="0.3">
      <c r="A5" s="1" t="s">
        <v>192</v>
      </c>
      <c r="B5" s="1" t="s">
        <v>213</v>
      </c>
      <c r="C5" s="5">
        <v>2200</v>
      </c>
      <c r="D5" s="1" t="s">
        <v>214</v>
      </c>
    </row>
    <row r="6" spans="1:4" x14ac:dyDescent="0.3">
      <c r="A6" s="1" t="s">
        <v>193</v>
      </c>
      <c r="B6" s="1" t="s">
        <v>215</v>
      </c>
      <c r="C6" s="5">
        <v>1700</v>
      </c>
      <c r="D6" s="1" t="s">
        <v>210</v>
      </c>
    </row>
    <row r="7" spans="1:4" x14ac:dyDescent="0.3">
      <c r="A7" s="1" t="s">
        <v>194</v>
      </c>
      <c r="B7" s="1" t="s">
        <v>209</v>
      </c>
      <c r="C7" s="5">
        <v>1800</v>
      </c>
      <c r="D7" s="1" t="s">
        <v>216</v>
      </c>
    </row>
    <row r="8" spans="1:4" x14ac:dyDescent="0.3">
      <c r="A8" s="1" t="s">
        <v>195</v>
      </c>
      <c r="B8" s="1" t="s">
        <v>217</v>
      </c>
      <c r="C8" s="5">
        <v>2500</v>
      </c>
      <c r="D8" s="1" t="s">
        <v>212</v>
      </c>
    </row>
    <row r="9" spans="1:4" x14ac:dyDescent="0.3">
      <c r="A9" s="1" t="s">
        <v>196</v>
      </c>
      <c r="B9" s="1" t="s">
        <v>211</v>
      </c>
      <c r="C9" s="5">
        <v>2000</v>
      </c>
      <c r="D9" s="1" t="s">
        <v>218</v>
      </c>
    </row>
    <row r="10" spans="1:4" x14ac:dyDescent="0.3">
      <c r="A10" s="1" t="s">
        <v>197</v>
      </c>
      <c r="B10" s="1" t="s">
        <v>213</v>
      </c>
      <c r="C10" s="5">
        <v>2200</v>
      </c>
      <c r="D10" s="1" t="s">
        <v>214</v>
      </c>
    </row>
    <row r="11" spans="1:4" x14ac:dyDescent="0.3">
      <c r="A11" s="1" t="s">
        <v>198</v>
      </c>
      <c r="B11" s="1" t="s">
        <v>215</v>
      </c>
      <c r="C11" s="5">
        <v>1700</v>
      </c>
      <c r="D11" s="1" t="s">
        <v>210</v>
      </c>
    </row>
    <row r="12" spans="1:4" x14ac:dyDescent="0.3">
      <c r="A12" s="1" t="s">
        <v>199</v>
      </c>
      <c r="B12" s="1" t="s">
        <v>219</v>
      </c>
      <c r="C12" s="5">
        <v>2600</v>
      </c>
      <c r="D12" s="1" t="s">
        <v>220</v>
      </c>
    </row>
    <row r="13" spans="1:4" x14ac:dyDescent="0.3">
      <c r="A13" s="1" t="s">
        <v>200</v>
      </c>
      <c r="B13" s="1" t="s">
        <v>217</v>
      </c>
      <c r="C13" s="5">
        <v>2500</v>
      </c>
      <c r="D13" s="1" t="s">
        <v>212</v>
      </c>
    </row>
    <row r="14" spans="1:4" x14ac:dyDescent="0.3">
      <c r="A14" s="1" t="s">
        <v>201</v>
      </c>
      <c r="B14" s="1" t="s">
        <v>211</v>
      </c>
      <c r="C14" s="5">
        <v>2000</v>
      </c>
      <c r="D14" s="1" t="s">
        <v>218</v>
      </c>
    </row>
    <row r="15" spans="1:4" x14ac:dyDescent="0.3">
      <c r="A15" s="1" t="s">
        <v>202</v>
      </c>
      <c r="B15" s="1" t="s">
        <v>221</v>
      </c>
      <c r="C15" s="5">
        <v>2800</v>
      </c>
      <c r="D15" s="1" t="s">
        <v>214</v>
      </c>
    </row>
    <row r="16" spans="1:4" x14ac:dyDescent="0.3">
      <c r="A16" s="1" t="s">
        <v>203</v>
      </c>
      <c r="B16" s="1" t="s">
        <v>215</v>
      </c>
      <c r="C16" s="5">
        <v>1700</v>
      </c>
      <c r="D16" s="1" t="s">
        <v>216</v>
      </c>
    </row>
    <row r="17" spans="1:4" x14ac:dyDescent="0.3">
      <c r="A17" s="1" t="s">
        <v>204</v>
      </c>
      <c r="B17" s="1" t="s">
        <v>209</v>
      </c>
      <c r="C17" s="5">
        <v>1800</v>
      </c>
      <c r="D17" s="1" t="s">
        <v>220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Basic Functions</vt:lpstr>
      <vt:lpstr>Conditional Functions</vt:lpstr>
      <vt:lpstr>Counting Functions</vt:lpstr>
      <vt:lpstr>Text Functions</vt:lpstr>
      <vt:lpstr>Dynamic Array Function</vt:lpstr>
      <vt:lpstr>Lookup Function S1</vt:lpstr>
      <vt:lpstr>Lookup Function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Williams</dc:creator>
  <cp:lastModifiedBy>Janani Lakshmanan</cp:lastModifiedBy>
  <dcterms:created xsi:type="dcterms:W3CDTF">2026-01-21T10:27:57Z</dcterms:created>
  <dcterms:modified xsi:type="dcterms:W3CDTF">2026-01-24T17:50:38Z</dcterms:modified>
</cp:coreProperties>
</file>